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ment" sheetId="1" r:id="rId5"/>
    <sheet state="visible" name="Master" sheetId="2" r:id="rId6"/>
    <sheet state="visible" name="Over all offer" sheetId="3" r:id="rId7"/>
    <sheet state="visible" name="Customer Service Agent" sheetId="4" r:id="rId8"/>
    <sheet state="visible" name="Pest Diagnosis Agent" sheetId="5" r:id="rId9"/>
    <sheet state="visible" name="Bee Keepr Agent" sheetId="6" r:id="rId10"/>
    <sheet state="visible" name="M&amp;E Agent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tc={3be2e086-afa9-4e0c-bf24-841f9e69e8be}</author>
  </authors>
  <commentList>
    <comment authorId="0" xr:uid="{3be2e086-afa9-4e0c-bf24-841f9e69e8be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simply - it's calculated as an answer per question
</t>
      </text>
    </comment>
  </commentList>
</comments>
</file>

<file path=xl/sharedStrings.xml><?xml version="1.0" encoding="utf-8"?>
<sst xmlns="http://schemas.openxmlformats.org/spreadsheetml/2006/main" count="587" uniqueCount="131">
  <si>
    <t>Telecom Summery</t>
  </si>
  <si>
    <t>(Country)</t>
  </si>
  <si>
    <t>Cost USD</t>
  </si>
  <si>
    <t>Tokens</t>
  </si>
  <si>
    <t>(Short \ decdicated \ Sim host)</t>
  </si>
  <si>
    <t>input tokens costs</t>
  </si>
  <si>
    <t xml:space="preserve">outbund </t>
  </si>
  <si>
    <t>output tokens costs</t>
  </si>
  <si>
    <t>inbund</t>
  </si>
  <si>
    <t>setup - monthly \ yearly (in a month)</t>
  </si>
  <si>
    <t>subscription - monthly \ yearly (in a month)</t>
  </si>
  <si>
    <t>Number of contacts</t>
  </si>
  <si>
    <t>SMS Cost Per Country</t>
  </si>
  <si>
    <t>out</t>
  </si>
  <si>
    <t>in</t>
  </si>
  <si>
    <t>tier 1</t>
  </si>
  <si>
    <t xml:space="preserve"> tier 2</t>
  </si>
  <si>
    <t>local</t>
  </si>
  <si>
    <t>usd</t>
  </si>
  <si>
    <t>message volume</t>
  </si>
  <si>
    <t>scope</t>
  </si>
  <si>
    <t>Kenya</t>
  </si>
  <si>
    <t xml:space="preserve"> 0 - 99,999 KES</t>
  </si>
  <si>
    <t>100,000 - 399,999 KES</t>
  </si>
  <si>
    <t>400,000+ KES</t>
  </si>
  <si>
    <t>Ethiopia</t>
  </si>
  <si>
    <t>Tanzania</t>
  </si>
  <si>
    <t>TZS 0 - 499,999</t>
  </si>
  <si>
    <t>TZS 500,000 - 2,499,999</t>
  </si>
  <si>
    <t>set app</t>
  </si>
  <si>
    <t>monthly fee</t>
  </si>
  <si>
    <t>yearly (Paid From Second Year)</t>
  </si>
  <si>
    <t>Shortcode by country</t>
  </si>
  <si>
    <t>eur</t>
  </si>
  <si>
    <t>sum local</t>
  </si>
  <si>
    <t>sum used</t>
  </si>
  <si>
    <t>dedecated</t>
  </si>
  <si>
    <t>Shared</t>
  </si>
  <si>
    <t>Zambia</t>
  </si>
  <si>
    <t>dedecates short code</t>
  </si>
  <si>
    <t>1000EUR</t>
  </si>
  <si>
    <t>-</t>
  </si>
  <si>
    <t>Sim hosting - seven</t>
  </si>
  <si>
    <t>mothly</t>
  </si>
  <si>
    <t>yearly</t>
  </si>
  <si>
    <t>Whatsupp</t>
  </si>
  <si>
    <t>South Africa</t>
  </si>
  <si>
    <t>inbound - per SMS (160 characters)</t>
  </si>
  <si>
    <t>outbund</t>
  </si>
  <si>
    <t xml:space="preserve">Tanzania </t>
  </si>
  <si>
    <t>SouthAfrica</t>
  </si>
  <si>
    <t>outbud</t>
  </si>
  <si>
    <t>Questionnaires</t>
  </si>
  <si>
    <t>Telocome</t>
  </si>
  <si>
    <t>number of daily questionnaires</t>
  </si>
  <si>
    <t>input tokens per interaction</t>
  </si>
  <si>
    <t>number of days in the a month - how many time it will be used in a month</t>
  </si>
  <si>
    <t>output tokens per interaction</t>
  </si>
  <si>
    <t>Number of Questions per Filler</t>
  </si>
  <si>
    <t>Total number of questions a month</t>
  </si>
  <si>
    <t>number of outbund in a month</t>
  </si>
  <si>
    <t>Total input tokens a month</t>
  </si>
  <si>
    <t>number of inbound in a month</t>
  </si>
  <si>
    <t>Total output tokens a month</t>
  </si>
  <si>
    <t>number of weekly questionnaires</t>
  </si>
  <si>
    <t>Total input tokens costs a month</t>
  </si>
  <si>
    <t>number of weeks in the a month - how many time it will be used in a month</t>
  </si>
  <si>
    <t>Total output tokens costs a month</t>
  </si>
  <si>
    <t>Total tokens costs for quesionnaires a month</t>
  </si>
  <si>
    <t>number of monthly questionnaires</t>
  </si>
  <si>
    <t>number of month in the a month - how many time it will be used in a month</t>
  </si>
  <si>
    <t>number of yearly questionnaires</t>
  </si>
  <si>
    <t>number of year in the a month - how many time it will be used in a month</t>
  </si>
  <si>
    <t>Number of Messages/Questions Ratio</t>
  </si>
  <si>
    <t xml:space="preserve">Cost in USD </t>
  </si>
  <si>
    <t>Total in USD</t>
  </si>
  <si>
    <t>Number of outbund SMS - Monthly per citizen</t>
  </si>
  <si>
    <t>Number of inbound SMS - Monthly per citizen</t>
  </si>
  <si>
    <t>Total costs a month</t>
  </si>
  <si>
    <t>Broadcast</t>
  </si>
  <si>
    <t>number of daily Broadcasts</t>
  </si>
  <si>
    <t>number of weekly Broadcasts</t>
  </si>
  <si>
    <t>Total number of interactions a month</t>
  </si>
  <si>
    <t>number of monthly Broadcasts</t>
  </si>
  <si>
    <t>number of yearly Broadcasts</t>
  </si>
  <si>
    <t>Total Number of Broadcasts a month</t>
  </si>
  <si>
    <t>Total tokens costs for broadcast a month</t>
  </si>
  <si>
    <t>Number of SMS per Broadcast - outbound only without conversation</t>
  </si>
  <si>
    <t>Number of SMS per Broadcast - outbound only with conversation</t>
  </si>
  <si>
    <t>Number of SMS per Broadcast - inbound only with conversation</t>
  </si>
  <si>
    <t>% of citizens do not interact with the Broadcast</t>
  </si>
  <si>
    <t>% of citizens to interact with the Broadcast</t>
  </si>
  <si>
    <t>Cost in USD</t>
  </si>
  <si>
    <t xml:space="preserve">Total in USD </t>
  </si>
  <si>
    <t>total number of outbund SMS</t>
  </si>
  <si>
    <t>total number of inbund SMS</t>
  </si>
  <si>
    <t>Q&amp;A FLOW</t>
  </si>
  <si>
    <t xml:space="preserve">% citizens have monthly Q&amp;A inbound conversations </t>
  </si>
  <si>
    <t>Number of messages from a citizen in each Q&amp;A interaction</t>
  </si>
  <si>
    <t>Total tokens costs for Q&amp;A a month</t>
  </si>
  <si>
    <t>TOTAL AGENT COST</t>
  </si>
  <si>
    <t>total Cost of outbund SMS per contact a month</t>
  </si>
  <si>
    <t>total cost of inbund SMS per contact a month</t>
  </si>
  <si>
    <t>Total cost of SMS per contact for a month</t>
  </si>
  <si>
    <t>Total per month (total monthly*population) in USD</t>
  </si>
  <si>
    <t>Total cost of Tokens per contact for a month</t>
  </si>
  <si>
    <t>Total cost of per contact for a month</t>
  </si>
  <si>
    <t>Agentes</t>
  </si>
  <si>
    <t>per contact</t>
  </si>
  <si>
    <t>all contacts</t>
  </si>
  <si>
    <t>margin</t>
  </si>
  <si>
    <t>Total per contact</t>
  </si>
  <si>
    <t xml:space="preserve">Total all contacts </t>
  </si>
  <si>
    <t>Basic</t>
  </si>
  <si>
    <t>Extra</t>
  </si>
  <si>
    <t>M&amp;E Agent</t>
  </si>
  <si>
    <t>Bee Keepr Agent</t>
  </si>
  <si>
    <t>Pest Diagnosis Agent</t>
  </si>
  <si>
    <t>Customer Service Agent</t>
  </si>
  <si>
    <t xml:space="preserve">onbording </t>
  </si>
  <si>
    <t>monthly plan</t>
  </si>
  <si>
    <t>yearly plan</t>
  </si>
  <si>
    <t xml:space="preserve">setup </t>
  </si>
  <si>
    <t>subscription</t>
  </si>
  <si>
    <t>Total per year</t>
  </si>
  <si>
    <t>Total all agents + subscription</t>
  </si>
  <si>
    <t>Total all agents + subscription per contact</t>
  </si>
  <si>
    <t>Total all agents</t>
  </si>
  <si>
    <t>Total all agentt per contact</t>
  </si>
  <si>
    <t>number of population</t>
  </si>
  <si>
    <t>number of interactions from a contact in a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</si>
</sst>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000000"/>
    <numFmt numFmtId="165" formatCode="[$$]#,##0.000000"/>
    <numFmt numFmtId="166" formatCode="0.0000"/>
    <numFmt numFmtId="167" formatCode="0.000000"/>
    <numFmt numFmtId="168" formatCode="[$$]#,##0.000"/>
    <numFmt numFmtId="169" formatCode="[$$]#,##0.00"/>
    <numFmt numFmtId="170" formatCode="[$$]#,##0.0000"/>
    <numFmt numFmtId="171" formatCode="[$$]#,##0"/>
  </numFmts>
  <fonts count="39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rgb="FF0000FF"/>
      <name val="Arial"/>
      <scheme val="minor"/>
    </font>
    <font>
      <color rgb="FF0000FF"/>
      <name val="Arial"/>
      <scheme val="minor"/>
    </font>
    <font>
      <b/>
      <color rgb="FFFF00FF"/>
      <name val="Arial"/>
      <scheme val="minor"/>
    </font>
    <font>
      <color rgb="FFFF00FF"/>
      <name val="Arial"/>
      <scheme val="minor"/>
    </font>
    <font>
      <b/>
      <color theme="1"/>
      <name val="Arial"/>
    </font>
    <font>
      <b/>
      <color rgb="FF000000"/>
      <name val="Montserrat"/>
    </font>
    <font>
      <b/>
      <u/>
      <sz val="15.0"/>
      <color theme="1"/>
      <name val="Arial"/>
      <scheme val="minor"/>
    </font>
    <font>
      <color rgb="FF222222"/>
      <name val="Arial"/>
    </font>
    <font>
      <b/>
      <color rgb="FFFF00FF"/>
      <name val="Arial"/>
    </font>
    <font>
      <b/>
      <color rgb="FF0000FF"/>
      <name val="Arial"/>
    </font>
    <font>
      <b/>
      <sz val="20.0"/>
      <color theme="1"/>
      <name val="Arial"/>
      <scheme val="minor"/>
    </font>
    <font>
      <b/>
      <u/>
      <color theme="1"/>
      <name val="Arial"/>
      <scheme val="minor"/>
    </font>
    <font>
      <i/>
      <color rgb="FFFF0000"/>
      <name val="Arial"/>
      <scheme val="minor"/>
    </font>
    <font>
      <color rgb="FFFF0000"/>
      <name val="Arial"/>
      <scheme val="minor"/>
    </font>
    <font>
      <i/>
      <color theme="1"/>
      <name val="Arial"/>
      <scheme val="minor"/>
    </font>
    <font>
      <i/>
      <color rgb="FF0000FF"/>
      <name val="Arial"/>
      <scheme val="minor"/>
    </font>
    <font>
      <i/>
      <color rgb="FF9900FF"/>
      <name val="Arial"/>
      <scheme val="minor"/>
    </font>
    <font>
      <color rgb="FF9900FF"/>
      <name val="Arial"/>
      <scheme val="minor"/>
    </font>
    <font>
      <b/>
      <i/>
      <color theme="1"/>
      <name val="Arial"/>
      <scheme val="minor"/>
    </font>
    <font>
      <b/>
      <sz val="10.0"/>
      <color rgb="FF9900FF"/>
      <name val="Arial"/>
      <scheme val="minor"/>
    </font>
    <font>
      <b/>
      <color rgb="FF9900FF"/>
      <name val="Arial"/>
      <scheme val="minor"/>
    </font>
    <font>
      <b/>
      <sz val="10.0"/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rgb="FFFF0000"/>
      <name val="Arial"/>
      <scheme val="minor"/>
    </font>
    <font>
      <i/>
      <color rgb="FFFF00FF"/>
      <name val="Arial"/>
      <scheme val="minor"/>
    </font>
    <font>
      <i/>
      <sz val="10.0"/>
      <color theme="1"/>
      <name val="Arial"/>
      <scheme val="minor"/>
    </font>
    <font>
      <sz val="10.0"/>
      <color rgb="FFFF0000"/>
      <name val="Arial"/>
      <scheme val="minor"/>
    </font>
    <font>
      <b/>
      <color rgb="FFFF0000"/>
      <name val="Arial"/>
      <scheme val="minor"/>
    </font>
    <font>
      <sz val="11.0"/>
      <color rgb="FF0000FF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sz val="13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3" fillId="0" fontId="6" numFmtId="0" xfId="0" applyAlignment="1" applyBorder="1" applyFont="1">
      <alignment vertical="bottom"/>
    </xf>
    <xf borderId="3" fillId="0" fontId="6" numFmtId="164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3" fillId="0" fontId="9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right" vertical="bottom"/>
    </xf>
    <xf borderId="3" fillId="0" fontId="4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0" fillId="0" fontId="3" numFmtId="0" xfId="0" applyFont="1"/>
    <xf borderId="0" fillId="0" fontId="11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3" fillId="4" fontId="3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166" xfId="0" applyAlignment="1" applyBorder="1" applyFont="1" applyNumberFormat="1">
      <alignment horizontal="center" readingOrder="0"/>
    </xf>
    <xf borderId="3" fillId="0" fontId="3" numFmtId="167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5" fontId="12" numFmtId="0" xfId="0" applyAlignment="1" applyFill="1" applyFont="1">
      <alignment horizontal="left" readingOrder="0"/>
    </xf>
    <xf borderId="0" fillId="2" fontId="11" numFmtId="0" xfId="0" applyAlignment="1" applyFont="1">
      <alignment horizontal="center" shrinkToFit="0" wrapText="1"/>
    </xf>
    <xf borderId="0" fillId="2" fontId="11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/>
    </xf>
    <xf borderId="7" fillId="0" fontId="11" numFmtId="0" xfId="0" applyAlignment="1" applyBorder="1" applyFont="1">
      <alignment horizontal="center" readingOrder="0" shrinkToFit="0" wrapText="1"/>
    </xf>
    <xf borderId="8" fillId="4" fontId="6" numFmtId="0" xfId="0" applyAlignment="1" applyBorder="1" applyFont="1">
      <alignment horizontal="center" readingOrder="0" shrinkToFit="0" vertical="center" wrapText="1"/>
    </xf>
    <xf borderId="7" fillId="0" fontId="6" numFmtId="3" xfId="0" applyAlignment="1" applyBorder="1" applyFont="1" applyNumberFormat="1">
      <alignment horizontal="center" readingOrder="0" shrinkToFit="0" wrapText="1"/>
    </xf>
    <xf borderId="9" fillId="0" fontId="6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10" fillId="0" fontId="2" numFmtId="0" xfId="0" applyBorder="1" applyFont="1"/>
    <xf borderId="1" fillId="3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wrapText="1"/>
    </xf>
    <xf borderId="1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2" fillId="0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" fillId="0" fontId="3" numFmtId="0" xfId="0" applyBorder="1" applyFont="1"/>
    <xf borderId="11" fillId="0" fontId="3" numFmtId="0" xfId="0" applyBorder="1" applyFont="1"/>
    <xf borderId="7" fillId="0" fontId="11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8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readingOrder="0" vertical="center"/>
    </xf>
    <xf borderId="7" fillId="0" fontId="3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0" fillId="6" fontId="14" numFmtId="3" xfId="0" applyAlignment="1" applyFill="1" applyFont="1" applyNumberFormat="1">
      <alignment readingOrder="0"/>
    </xf>
    <xf borderId="0" fillId="0" fontId="3" numFmtId="3" xfId="0" applyFont="1" applyNumberFormat="1"/>
    <xf borderId="13" fillId="0" fontId="3" numFmtId="3" xfId="0" applyBorder="1" applyFont="1" applyNumberFormat="1"/>
    <xf borderId="10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15" numFmtId="0" xfId="0" applyAlignment="1" applyFont="1">
      <alignment horizontal="center" readingOrder="0" shrinkToFit="0" wrapText="1"/>
    </xf>
    <xf borderId="0" fillId="2" fontId="16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3" numFmtId="3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Font="1"/>
    <xf borderId="0" fillId="4" fontId="21" numFmtId="0" xfId="0" applyAlignment="1" applyFont="1">
      <alignment readingOrder="0"/>
    </xf>
    <xf borderId="0" fillId="4" fontId="3" numFmtId="0" xfId="0" applyFont="1"/>
    <xf borderId="0" fillId="0" fontId="20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8" numFmtId="0" xfId="0" applyFont="1"/>
    <xf borderId="0" fillId="0" fontId="10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8" numFmtId="0" xfId="0" applyAlignment="1" applyFont="1">
      <alignment readingOrder="0"/>
    </xf>
    <xf borderId="0" fillId="2" fontId="3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21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7" fillId="0" fontId="20" numFmtId="0" xfId="0" applyAlignment="1" applyBorder="1" applyFont="1">
      <alignment horizontal="center" readingOrder="0"/>
    </xf>
    <xf borderId="9" fillId="0" fontId="20" numFmtId="0" xfId="0" applyAlignment="1" applyBorder="1" applyFont="1">
      <alignment horizontal="center" readingOrder="0"/>
    </xf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7" numFmtId="0" xfId="0" applyAlignment="1" applyBorder="1" applyFont="1">
      <alignment readingOrder="0"/>
    </xf>
    <xf borderId="12" fillId="0" fontId="20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/>
    </xf>
    <xf borderId="0" fillId="0" fontId="26" numFmtId="0" xfId="0" applyAlignment="1" applyFont="1">
      <alignment readingOrder="0"/>
    </xf>
    <xf borderId="0" fillId="0" fontId="27" numFmtId="0" xfId="0" applyFont="1"/>
    <xf borderId="0" fillId="0" fontId="27" numFmtId="0" xfId="0" applyAlignment="1" applyFont="1">
      <alignment readingOrder="0"/>
    </xf>
    <xf borderId="10" fillId="0" fontId="20" numFmtId="0" xfId="0" applyAlignment="1" applyBorder="1" applyFont="1">
      <alignment horizontal="center" readingOrder="0"/>
    </xf>
    <xf borderId="11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7" fontId="28" numFmtId="0" xfId="0" applyAlignment="1" applyFill="1" applyFont="1">
      <alignment horizontal="center" readingOrder="0"/>
    </xf>
    <xf borderId="0" fillId="7" fontId="4" numFmtId="0" xfId="0" applyAlignment="1" applyFont="1">
      <alignment horizontal="center"/>
    </xf>
    <xf borderId="0" fillId="0" fontId="2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21" numFmtId="9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32" numFmtId="0" xfId="0" applyFont="1"/>
    <xf borderId="0" fillId="0" fontId="32" numFmtId="9" xfId="0" applyAlignment="1" applyFont="1" applyNumberFormat="1">
      <alignment readingOrder="0"/>
    </xf>
    <xf borderId="7" fillId="0" fontId="33" numFmtId="0" xfId="0" applyAlignment="1" applyBorder="1" applyFont="1">
      <alignment horizontal="center" readingOrder="0"/>
    </xf>
    <xf borderId="9" fillId="0" fontId="33" numFmtId="0" xfId="0" applyAlignment="1" applyBorder="1" applyFont="1">
      <alignment horizontal="center" readingOrder="0"/>
    </xf>
    <xf borderId="12" fillId="0" fontId="20" numFmtId="0" xfId="0" applyAlignment="1" applyBorder="1" applyFont="1">
      <alignment horizontal="center"/>
    </xf>
    <xf borderId="10" fillId="0" fontId="20" numFmtId="0" xfId="0" applyAlignment="1" applyBorder="1" applyFont="1">
      <alignment horizontal="center"/>
    </xf>
    <xf borderId="4" fillId="0" fontId="4" numFmtId="0" xfId="0" applyAlignment="1" applyBorder="1" applyFont="1">
      <alignment readingOrder="0"/>
    </xf>
    <xf borderId="6" fillId="0" fontId="4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9" xfId="0" applyAlignment="1" applyFont="1" applyNumberFormat="1">
      <alignment readingOrder="0"/>
    </xf>
    <xf borderId="13" fillId="0" fontId="20" numFmtId="0" xfId="0" applyAlignment="1" applyBorder="1" applyFont="1">
      <alignment horizontal="center" readingOrder="0"/>
    </xf>
    <xf borderId="11" fillId="0" fontId="20" numFmtId="0" xfId="0" applyAlignment="1" applyBorder="1" applyFont="1">
      <alignment horizontal="center" readingOrder="0"/>
    </xf>
    <xf borderId="0" fillId="0" fontId="34" numFmtId="0" xfId="0" applyAlignment="1" applyFont="1">
      <alignment readingOrder="0"/>
    </xf>
    <xf borderId="0" fillId="0" fontId="34" numFmtId="0" xfId="0" applyFont="1"/>
    <xf borderId="0" fillId="0" fontId="28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5" numFmtId="0" xfId="0" applyAlignment="1" applyFont="1">
      <alignment readingOrder="0"/>
    </xf>
    <xf borderId="0" fillId="0" fontId="10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168" xfId="0" applyFont="1" applyNumberFormat="1"/>
    <xf borderId="0" fillId="0" fontId="3" numFmtId="168" xfId="0" applyFont="1" applyNumberFormat="1"/>
    <xf borderId="0" fillId="7" fontId="4" numFmtId="0" xfId="0" applyAlignment="1" applyFont="1">
      <alignment readingOrder="0"/>
    </xf>
    <xf borderId="0" fillId="7" fontId="4" numFmtId="168" xfId="0" applyFont="1" applyNumberFormat="1"/>
    <xf borderId="0" fillId="7" fontId="3" numFmtId="0" xfId="0" applyAlignment="1" applyFont="1">
      <alignment readingOrder="0"/>
    </xf>
    <xf borderId="0" fillId="7" fontId="3" numFmtId="169" xfId="0" applyFont="1" applyNumberFormat="1"/>
    <xf borderId="0" fillId="0" fontId="3" numFmtId="170" xfId="0" applyAlignment="1" applyFont="1" applyNumberFormat="1">
      <alignment readingOrder="0"/>
    </xf>
    <xf borderId="0" fillId="0" fontId="21" numFmtId="17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6" numFmtId="0" xfId="0" applyFont="1"/>
    <xf borderId="0" fillId="0" fontId="3" numFmtId="9" xfId="0" applyAlignment="1" applyFont="1" applyNumberFormat="1">
      <alignment readingOrder="0"/>
    </xf>
    <xf borderId="0" fillId="0" fontId="3" numFmtId="9" xfId="0" applyFont="1" applyNumberFormat="1"/>
    <xf borderId="0" fillId="0" fontId="37" numFmtId="3" xfId="0" applyFont="1" applyNumberFormat="1"/>
    <xf borderId="0" fillId="0" fontId="3" numFmtId="171" xfId="0" applyFont="1" applyNumberFormat="1"/>
    <xf borderId="0" fillId="0" fontId="1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38" numFmtId="0" xfId="0" applyFont="1"/>
    <xf borderId="0" fillId="0" fontId="1" numFmtId="171" xfId="0" applyAlignment="1" applyFont="1" applyNumberFormat="1">
      <alignment horizontal="right"/>
    </xf>
    <xf borderId="0" fillId="0" fontId="4" numFmtId="171" xfId="0" applyFont="1" applyNumberFormat="1"/>
    <xf borderId="0" fillId="0" fontId="3" numFmtId="171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3" numFmtId="169" xfId="0" applyFont="1" applyNumberFormat="1"/>
    <xf borderId="0" fillId="7" fontId="3" numFmtId="168" xfId="0" applyFont="1" applyNumberFormat="1"/>
    <xf borderId="0" fillId="3" fontId="3" numFmtId="0" xfId="0" applyAlignment="1" applyFont="1">
      <alignment readingOrder="0"/>
    </xf>
    <xf borderId="0" fillId="4" fontId="4" numFmtId="168" xfId="0" applyFont="1" applyNumberFormat="1"/>
    <xf borderId="0" fillId="4" fontId="4" numFmtId="169" xfId="0" applyFont="1" applyNumberFormat="1"/>
    <xf borderId="0" fillId="8" fontId="3" numFmtId="0" xfId="0" applyAlignment="1" applyFill="1" applyFont="1">
      <alignment horizontal="center" readingOrder="0"/>
    </xf>
    <xf borderId="0" fillId="7" fontId="3" numFmtId="0" xfId="0" applyFont="1"/>
    <xf borderId="0" fillId="3" fontId="4" numFmtId="0" xfId="0" applyAlignment="1" applyFont="1">
      <alignment readingOrder="0"/>
    </xf>
    <xf borderId="0" fillId="3" fontId="3" numFmtId="169" xfId="0" applyFont="1" applyNumberFormat="1"/>
    <xf borderId="0" fillId="3" fontId="3" numFmtId="0" xfId="0" applyAlignment="1" applyFont="1">
      <alignment readingOrder="0" shrinkToFit="0" wrapText="1"/>
    </xf>
    <xf borderId="0" fillId="3" fontId="3" numFmtId="0" xfId="0" applyFont="1"/>
    <xf borderId="0" fillId="2" fontId="4" numFmtId="0" xfId="0" applyAlignment="1" applyFont="1">
      <alignment readingOrder="0"/>
    </xf>
    <xf borderId="0" fillId="2" fontId="3" numFmtId="169" xfId="0" applyFont="1" applyNumberFormat="1"/>
    <xf borderId="0" fillId="2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57150</xdr:rowOff>
    </xdr:from>
    <xdr:ext cx="12477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57150</xdr:rowOff>
    </xdr:from>
    <xdr:ext cx="12477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57150</xdr:rowOff>
    </xdr:from>
    <xdr:ext cx="12477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57150</xdr:rowOff>
    </xdr:from>
    <xdr:ext cx="12477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57150</xdr:rowOff>
    </xdr:from>
    <xdr:ext cx="1247775" cy="1266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iNua Technologies" id="{d42549f3-3974-44ff-9750-512922f5b5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2" dT="2026-06-23T09:46:22.00" personId="{d42549f3-3974-44ff-9750-512922f5b52b}" id="{3be2e086-afa9-4e0c-bf24-841f9e69e8be}" done="0">
    <x18tc:text xml:space="preserve">to simply - it's calculated as an answer per question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6" max="6" width="22.13"/>
    <col customWidth="1" min="7" max="7" width="17.5"/>
    <col customWidth="1" min="8" max="8" width="15.38"/>
    <col customWidth="1" min="9" max="9" width="26.0"/>
  </cols>
  <sheetData>
    <row r="3">
      <c r="B3" s="1" t="s">
        <v>0</v>
      </c>
      <c r="C3" s="2"/>
    </row>
    <row r="4">
      <c r="B4" s="3" t="s">
        <v>1</v>
      </c>
      <c r="C4" s="4" t="s">
        <v>2</v>
      </c>
      <c r="H4" s="1" t="s">
        <v>3</v>
      </c>
      <c r="I4" s="2"/>
    </row>
    <row r="5">
      <c r="B5" s="5" t="s">
        <v>4</v>
      </c>
      <c r="C5" s="6"/>
      <c r="H5" s="7" t="s">
        <v>5</v>
      </c>
      <c r="I5" s="8">
        <f>0.25/1000000</f>
        <v>0.00000025</v>
      </c>
    </row>
    <row r="6">
      <c r="B6" s="9" t="s">
        <v>6</v>
      </c>
      <c r="C6" s="10">
        <f>G45</f>
        <v>0.0853425</v>
      </c>
      <c r="H6" s="7" t="s">
        <v>7</v>
      </c>
      <c r="I6" s="8">
        <f>1.5/1000000</f>
        <v>0.0000015</v>
      </c>
    </row>
    <row r="7">
      <c r="B7" s="11" t="s">
        <v>8</v>
      </c>
      <c r="C7" s="12">
        <f>D45</f>
        <v>0.011379</v>
      </c>
      <c r="H7" s="13"/>
      <c r="I7" s="14"/>
    </row>
    <row r="8">
      <c r="B8" s="15" t="s">
        <v>9</v>
      </c>
      <c r="C8" s="16">
        <f>D36</f>
        <v>22.64421</v>
      </c>
      <c r="D8" s="17">
        <f>D37</f>
        <v>11.26521</v>
      </c>
      <c r="F8" s="18"/>
      <c r="G8" s="19"/>
    </row>
    <row r="9">
      <c r="B9" s="15" t="s">
        <v>10</v>
      </c>
      <c r="C9" s="16">
        <f>G36+G38</f>
        <v>93.02321</v>
      </c>
      <c r="D9" s="17">
        <f>G37+G38</f>
        <v>81.64421</v>
      </c>
    </row>
    <row r="11">
      <c r="B11" s="20" t="s">
        <v>11</v>
      </c>
      <c r="C11" s="20">
        <v>165.0</v>
      </c>
    </row>
    <row r="15">
      <c r="A15" s="21" t="s">
        <v>12</v>
      </c>
    </row>
    <row r="16">
      <c r="A16" s="22"/>
      <c r="B16" s="23" t="s">
        <v>13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  <c r="M16" s="23" t="s">
        <v>14</v>
      </c>
      <c r="N16" s="25"/>
    </row>
    <row r="17">
      <c r="A17" s="16"/>
      <c r="B17" s="26" t="s">
        <v>15</v>
      </c>
      <c r="C17" s="24"/>
      <c r="D17" s="24"/>
      <c r="E17" s="25"/>
      <c r="F17" s="26" t="s">
        <v>16</v>
      </c>
      <c r="G17" s="24"/>
      <c r="H17" s="24"/>
      <c r="I17" s="25"/>
      <c r="J17" s="26" t="s">
        <v>16</v>
      </c>
      <c r="K17" s="24"/>
      <c r="L17" s="25"/>
      <c r="M17" s="27"/>
    </row>
    <row r="18">
      <c r="A18" s="22"/>
      <c r="B18" s="28" t="s">
        <v>17</v>
      </c>
      <c r="C18" s="28" t="s">
        <v>18</v>
      </c>
      <c r="D18" s="28"/>
      <c r="E18" s="28" t="s">
        <v>19</v>
      </c>
      <c r="F18" s="28" t="s">
        <v>17</v>
      </c>
      <c r="G18" s="28"/>
      <c r="H18" s="28" t="s">
        <v>18</v>
      </c>
      <c r="I18" s="28" t="s">
        <v>19</v>
      </c>
      <c r="J18" s="28" t="s">
        <v>17</v>
      </c>
      <c r="K18" s="28" t="s">
        <v>18</v>
      </c>
      <c r="L18" s="28" t="s">
        <v>20</v>
      </c>
      <c r="M18" s="28" t="s">
        <v>17</v>
      </c>
      <c r="N18" s="28" t="s">
        <v>18</v>
      </c>
    </row>
    <row r="19">
      <c r="A19" s="29" t="s">
        <v>21</v>
      </c>
      <c r="B19" s="30">
        <v>0.8</v>
      </c>
      <c r="C19" s="31">
        <f>IFERROR(__xludf.DUMMYFUNCTION("GOOGLEFINANCE(""CURRENCY:KESUSD"") * B19"),0.006181902480000001)</f>
        <v>0.00618190248</v>
      </c>
      <c r="D19" s="31"/>
      <c r="E19" s="30" t="s">
        <v>22</v>
      </c>
      <c r="F19" s="30">
        <v>0.7</v>
      </c>
      <c r="G19" s="30"/>
      <c r="H19" s="32">
        <f>IFERROR(__xludf.DUMMYFUNCTION("GOOGLEFINANCE(""CURRENCY:KESUSD"") * F19"),0.00540916467)</f>
        <v>0.00540916467</v>
      </c>
      <c r="I19" s="30" t="s">
        <v>23</v>
      </c>
      <c r="J19" s="30">
        <v>0.6</v>
      </c>
      <c r="K19" s="16">
        <f>IFERROR(__xludf.DUMMYFUNCTION("GOOGLEFINANCE(""CURRENCY:KESUSD"") * J19"),0.00463642686)</f>
        <v>0.00463642686</v>
      </c>
      <c r="L19" s="30" t="s">
        <v>24</v>
      </c>
    </row>
    <row r="20">
      <c r="A20" s="29"/>
      <c r="B20" s="30"/>
      <c r="C20" s="30"/>
      <c r="D20" s="33"/>
      <c r="E20" s="34"/>
      <c r="F20" s="30"/>
      <c r="G20" s="30"/>
      <c r="H20" s="30"/>
      <c r="I20" s="30"/>
      <c r="J20" s="16"/>
      <c r="K20" s="16"/>
      <c r="L20" s="16"/>
    </row>
    <row r="21">
      <c r="A21" s="29" t="s">
        <v>25</v>
      </c>
      <c r="B21" s="30">
        <v>0.012</v>
      </c>
      <c r="C21" s="30">
        <f>IFERROR(__xludf.DUMMYFUNCTION("GOOGLEFINANCE(""CURRENCY:EURUSD"") * B21"),0.0136548)</f>
        <v>0.0136548</v>
      </c>
      <c r="D21" s="33"/>
      <c r="E21" s="34"/>
      <c r="F21" s="30"/>
      <c r="G21" s="30"/>
      <c r="H21" s="30"/>
      <c r="I21" s="30"/>
      <c r="J21" s="16"/>
      <c r="K21" s="16"/>
      <c r="L21" s="16"/>
    </row>
    <row r="22">
      <c r="A22" s="29" t="s">
        <v>26</v>
      </c>
      <c r="B22" s="30">
        <v>22.0</v>
      </c>
      <c r="C22" s="16">
        <f>IFERROR(__xludf.DUMMYFUNCTION("GOOGLEFINANCE(""CURRENCY:TZSUSD"") * B22"),0.008380942811999999)</f>
        <v>0.008380942812</v>
      </c>
      <c r="D22" s="16"/>
      <c r="E22" s="30" t="s">
        <v>27</v>
      </c>
      <c r="F22" s="30">
        <v>20.0</v>
      </c>
      <c r="G22" s="30"/>
      <c r="H22" s="16">
        <f>IFERROR(__xludf.DUMMYFUNCTION("GOOGLEFINANCE(""CURRENCY:TZSUSD"") * F22"),0.00761903892)</f>
        <v>0.00761903892</v>
      </c>
      <c r="I22" s="20" t="s">
        <v>28</v>
      </c>
      <c r="J22" s="30"/>
      <c r="K22" s="16"/>
      <c r="L22" s="30"/>
      <c r="M22" s="30">
        <v>150.0</v>
      </c>
      <c r="N22" s="16">
        <f>IFERROR(__xludf.DUMMYFUNCTION("GOOGLEFINANCE(""CURRENCY:TZSUSD"") * M22"),0.057142791899999996)</f>
        <v>0.0571427919</v>
      </c>
    </row>
    <row r="27">
      <c r="C27" s="35" t="s">
        <v>29</v>
      </c>
      <c r="F27" s="35" t="s">
        <v>30</v>
      </c>
      <c r="I27" s="36" t="s">
        <v>31</v>
      </c>
    </row>
    <row r="28">
      <c r="A28" s="37" t="s">
        <v>32</v>
      </c>
      <c r="B28" s="37"/>
      <c r="C28" s="36" t="s">
        <v>17</v>
      </c>
      <c r="D28" s="36" t="s">
        <v>18</v>
      </c>
      <c r="E28" s="36" t="s">
        <v>33</v>
      </c>
      <c r="F28" s="36" t="s">
        <v>17</v>
      </c>
      <c r="G28" s="36" t="s">
        <v>18</v>
      </c>
      <c r="H28" s="36" t="s">
        <v>33</v>
      </c>
      <c r="I28" s="36" t="s">
        <v>17</v>
      </c>
      <c r="J28" s="36" t="s">
        <v>18</v>
      </c>
      <c r="K28" s="36" t="s">
        <v>34</v>
      </c>
      <c r="L28" s="36" t="s">
        <v>35</v>
      </c>
    </row>
    <row r="29">
      <c r="A29" s="38" t="s">
        <v>21</v>
      </c>
      <c r="B29" s="39" t="s">
        <v>36</v>
      </c>
      <c r="C29" s="40">
        <v>6728.0</v>
      </c>
      <c r="D29" s="41">
        <f>IFERROR(__xludf.DUMMYFUNCTION("GOOGLEFINANCE(""CURRENCY:KESUSD"") * C29"),51.989799856800005)</f>
        <v>51.98979986</v>
      </c>
      <c r="E29" s="42"/>
      <c r="F29" s="43">
        <v>80736.0</v>
      </c>
      <c r="G29" s="44">
        <f>IFERROR(__xludf.DUMMYFUNCTION("GOOGLEFINANCE(""CURRENCY:KESUSD"") *F29"),623.8775982816001)</f>
        <v>623.8775983</v>
      </c>
      <c r="H29" s="45"/>
      <c r="I29" s="46"/>
      <c r="J29" s="47"/>
      <c r="K29" s="47"/>
      <c r="L29" s="48"/>
    </row>
    <row r="30">
      <c r="A30" s="49"/>
      <c r="B30" s="50" t="s">
        <v>37</v>
      </c>
      <c r="C30" s="51">
        <v>5800.0</v>
      </c>
      <c r="D30" s="52">
        <f>IFERROR(__xludf.DUMMYFUNCTION("GOOGLEFINANCE(""CURRENCY:KESUSD"") * C30"),44.818792980000005)</f>
        <v>44.81879298</v>
      </c>
      <c r="E30" s="53"/>
      <c r="F30" s="54">
        <v>2320.0</v>
      </c>
      <c r="G30" s="55">
        <f>IFERROR(__xludf.DUMMYFUNCTION("GOOGLEFINANCE(""CURRENCY:KESUSD"") *F30"),17.927517192)</f>
        <v>17.92751719</v>
      </c>
      <c r="H30" s="56"/>
      <c r="I30" s="57"/>
      <c r="J30" s="57"/>
      <c r="K30" s="57"/>
      <c r="L30" s="58"/>
    </row>
    <row r="31">
      <c r="A31" s="59" t="s">
        <v>38</v>
      </c>
      <c r="B31" s="39" t="s">
        <v>36</v>
      </c>
      <c r="C31" s="54">
        <v>700.0</v>
      </c>
      <c r="D31" s="60">
        <f>IFERROR(__xludf.DUMMYFUNCTION("GOOGLEFINANCE(""CURRENCY:ZMWUSD"") * C31"),39.017741)</f>
        <v>39.017741</v>
      </c>
      <c r="E31" s="61"/>
      <c r="F31" s="43">
        <v>1500.0</v>
      </c>
      <c r="G31" s="62">
        <f>IFERROR(__xludf.DUMMYFUNCTION("GOOGLEFINANCE(""CURRENCY:ZMWUSD"") * F31"),83.609445)</f>
        <v>83.609445</v>
      </c>
      <c r="H31" s="63"/>
      <c r="I31" s="47"/>
      <c r="J31" s="47"/>
      <c r="K31" s="47"/>
      <c r="L31" s="48"/>
    </row>
    <row r="32">
      <c r="A32" s="49"/>
      <c r="B32" s="50" t="s">
        <v>37</v>
      </c>
      <c r="C32" s="51">
        <v>700.0</v>
      </c>
      <c r="D32" s="64">
        <f>IFERROR(__xludf.DUMMYFUNCTION("GOOGLEFINANCE(""CURRENCY:ZMWUSD"") * C32"),39.017741)</f>
        <v>39.017741</v>
      </c>
      <c r="E32" s="53"/>
      <c r="F32" s="51">
        <v>500.0</v>
      </c>
      <c r="G32" s="65">
        <f>IFERROR(__xludf.DUMMYFUNCTION("GOOGLEFINANCE(""CURRENCY:ZMWUSD"") * F32"),27.869815)</f>
        <v>27.869815</v>
      </c>
      <c r="H32" s="66"/>
      <c r="I32" s="57"/>
      <c r="J32" s="57"/>
      <c r="K32" s="57"/>
      <c r="L32" s="58"/>
    </row>
    <row r="33">
      <c r="A33" s="67" t="s">
        <v>25</v>
      </c>
      <c r="B33" s="68" t="s">
        <v>39</v>
      </c>
      <c r="C33" s="69" t="s">
        <v>40</v>
      </c>
      <c r="D33" s="69" t="s">
        <v>41</v>
      </c>
      <c r="E33" s="69"/>
      <c r="F33" s="70" t="s">
        <v>41</v>
      </c>
      <c r="G33" s="71"/>
      <c r="H33" s="72"/>
      <c r="I33" s="73"/>
      <c r="J33" s="73"/>
      <c r="K33" s="73"/>
      <c r="L33" s="74"/>
    </row>
    <row r="34">
      <c r="A34" s="75" t="s">
        <v>26</v>
      </c>
      <c r="B34" s="39" t="s">
        <v>36</v>
      </c>
      <c r="C34" s="76">
        <f>IFERROR(__xludf.DUMMYFUNCTION("GOOGLEFINANCE(""CURRENCY:USDTZS"") * D34"),1.3412513501769342E7)</f>
        <v>13412513.5</v>
      </c>
      <c r="D34" s="46">
        <f>IFERROR(__xludf.DUMMYFUNCTION("4500 + GOOGLEFINANCE(""CURRENCY:TZSUSD"") * 1600000"),5109.5231136)</f>
        <v>5109.523114</v>
      </c>
      <c r="E34" s="46"/>
      <c r="F34" s="77"/>
      <c r="G34" s="78"/>
      <c r="H34" s="79"/>
      <c r="I34" s="80">
        <v>4600000.0</v>
      </c>
      <c r="J34" s="80">
        <v>3050.0</v>
      </c>
      <c r="K34" s="81">
        <f>IFERROR(__xludf.DUMMYFUNCTION("I34+ GOOGLEFINANCE(""CURRENCY:USDTZS"") * J34"),1.260625915E7)</f>
        <v>12606259.15</v>
      </c>
      <c r="L34" s="82">
        <f>IFERROR(__xludf.DUMMYFUNCTION("J34+ GOOGLEFINANCE(""CURRENCY:TZSUSD"") * I34"),4802.3789516)</f>
        <v>4802.378952</v>
      </c>
    </row>
    <row r="35">
      <c r="A35" s="49"/>
      <c r="B35" s="50" t="s">
        <v>37</v>
      </c>
      <c r="C35" s="51">
        <v>198500.0</v>
      </c>
      <c r="D35" s="57">
        <f>IFERROR(__xludf.DUMMYFUNCTION("GOOGLEFINANCE(""CURRENCY:TZSUSD"") * C35"),75.618961281)</f>
        <v>75.61896128</v>
      </c>
      <c r="E35" s="57"/>
      <c r="F35" s="83">
        <v>79400.0</v>
      </c>
      <c r="G35" s="84">
        <f>IFERROR(__xludf.DUMMYFUNCTION("GOOGLEFINANCE(""CURRENCY:TZSUSD"") * F35"),30.2475845124)</f>
        <v>30.24758451</v>
      </c>
      <c r="H35" s="85"/>
      <c r="I35" s="57"/>
      <c r="J35" s="57"/>
      <c r="K35" s="57"/>
      <c r="L35" s="58"/>
    </row>
    <row r="36">
      <c r="A36" s="86" t="s">
        <v>42</v>
      </c>
      <c r="B36" s="87" t="s">
        <v>43</v>
      </c>
      <c r="C36" s="88">
        <f>IFERROR(__xludf.DUMMYFUNCTION("GOOGLEFINANCE(""CURRENCY:EURTZS"") * E36"),59554.73)</f>
        <v>59554.73</v>
      </c>
      <c r="D36" s="87">
        <f>IFERROR(__xludf.DUMMYFUNCTION("GOOGLEFINANCE(""CURRENCY:EURUSD"") * E36"),22.644209999999998)</f>
        <v>22.64421</v>
      </c>
      <c r="E36" s="89">
        <v>19.9</v>
      </c>
      <c r="F36" s="88">
        <f>IFERROR(__xludf.DUMMYFUNCTION("GOOGLEFINANCE(""CURRENCY:EURTZS"") * H36"),89481.73000000001)</f>
        <v>89481.73</v>
      </c>
      <c r="G36" s="90">
        <f>IFERROR(__xludf.DUMMYFUNCTION("GOOGLEFINANCE(""CURRENCY:EURUSD"") * H36"),34.02321)</f>
        <v>34.02321</v>
      </c>
      <c r="H36" s="89">
        <v>29.9</v>
      </c>
      <c r="I36" s="47"/>
      <c r="J36" s="47"/>
      <c r="K36" s="47"/>
      <c r="L36" s="48"/>
    </row>
    <row r="37">
      <c r="A37" s="49"/>
      <c r="B37" s="91" t="s">
        <v>44</v>
      </c>
      <c r="C37" s="92">
        <f>IFERROR(__xludf.DUMMYFUNCTION("GOOGLEFINANCE(""CURRENCY:EURTZS"") * E37"),29627.730000000003)</f>
        <v>29627.73</v>
      </c>
      <c r="D37" s="93">
        <f>IFERROR(__xludf.DUMMYFUNCTION("GOOGLEFINANCE(""CURRENCY:EURUSD"") * E37"),11.26521)</f>
        <v>11.26521</v>
      </c>
      <c r="E37" s="94">
        <v>9.9</v>
      </c>
      <c r="F37" s="92">
        <f>IFERROR(__xludf.DUMMYFUNCTION("GOOGLEFINANCE(""CURRENCY:EURTZS"") * H37"),59554.73)</f>
        <v>59554.73</v>
      </c>
      <c r="G37" s="93">
        <f>IFERROR(__xludf.DUMMYFUNCTION("GOOGLEFINANCE(""CURRENCY:EURUSD"") * H37"),22.644209999999998)</f>
        <v>22.64421</v>
      </c>
      <c r="H37" s="94">
        <v>19.9</v>
      </c>
      <c r="I37" s="57"/>
      <c r="J37" s="57"/>
      <c r="K37" s="57"/>
      <c r="L37" s="58"/>
    </row>
    <row r="38">
      <c r="A38" s="95" t="s">
        <v>45</v>
      </c>
      <c r="B38" s="96"/>
      <c r="C38" s="97"/>
      <c r="D38" s="96"/>
      <c r="E38" s="98"/>
      <c r="F38" s="99"/>
      <c r="G38" s="100">
        <v>59.0</v>
      </c>
      <c r="H38" s="74"/>
      <c r="I38" s="73"/>
      <c r="J38" s="73"/>
      <c r="K38" s="73"/>
      <c r="L38" s="74"/>
    </row>
    <row r="39">
      <c r="A39" s="75" t="s">
        <v>46</v>
      </c>
      <c r="B39" s="39" t="s">
        <v>36</v>
      </c>
      <c r="C39" s="101">
        <v>4200.0</v>
      </c>
      <c r="D39" s="46">
        <f>IFERROR(__xludf.DUMMYFUNCTION("GOOGLEFINANCE(""CURRENCY:ZARUSD"") * C39"),254.42075400000002)</f>
        <v>254.420754</v>
      </c>
      <c r="E39" s="46">
        <v>1200.0</v>
      </c>
      <c r="F39" s="48">
        <f>IFERROR(__xludf.DUMMYFUNCTION("GOOGLEFINANCE(""CURRENCY:ZARUSD"") *E39"),72.69164400000001)</f>
        <v>72.691644</v>
      </c>
      <c r="G39" s="17">
        <f>IFERROR(__xludf.DUMMYFUNCTION("GOOGLEFINANCE(""CURRENCY:ZARUSD"") * F39"),4.4033959228522805)</f>
        <v>4.403395923</v>
      </c>
    </row>
    <row r="40">
      <c r="A40" s="49"/>
      <c r="B40" s="50" t="s">
        <v>37</v>
      </c>
      <c r="C40" s="51"/>
      <c r="D40" s="102"/>
      <c r="E40" s="57"/>
      <c r="F40" s="58"/>
    </row>
    <row r="42">
      <c r="B42" s="103" t="s">
        <v>42</v>
      </c>
      <c r="C42" s="104" t="s">
        <v>47</v>
      </c>
      <c r="F42" s="105" t="s">
        <v>48</v>
      </c>
    </row>
    <row r="43">
      <c r="C43" s="106" t="s">
        <v>17</v>
      </c>
      <c r="D43" s="106" t="s">
        <v>18</v>
      </c>
      <c r="E43" s="106" t="s">
        <v>33</v>
      </c>
      <c r="F43" s="107" t="s">
        <v>17</v>
      </c>
      <c r="G43" s="107" t="s">
        <v>18</v>
      </c>
      <c r="H43" s="107" t="s">
        <v>33</v>
      </c>
    </row>
    <row r="44">
      <c r="B44" s="21" t="s">
        <v>49</v>
      </c>
      <c r="C44" s="108">
        <f>IFERROR(__xludf.DUMMYFUNCTION("GOOGLEFINANCE(""CURRENCY:EURTZS"") * E44"),29.927000000000003)</f>
        <v>29.927</v>
      </c>
      <c r="D44" s="108">
        <f>IFERROR(__xludf.DUMMYFUNCTION("GOOGLEFINANCE(""CURRENCY:EURUSD"") * E44"),0.011378999999999998)</f>
        <v>0.011379</v>
      </c>
      <c r="E44" s="109">
        <v>0.01</v>
      </c>
      <c r="F44" s="10">
        <f>IFERROR(__xludf.DUMMYFUNCTION("GOOGLEFINANCE(""CURRENCY:EURTZS"") * H44"),879.8538)</f>
        <v>879.8538</v>
      </c>
      <c r="G44" s="10">
        <f>IFERROR(__xludf.DUMMYFUNCTION("GOOGLEFINANCE(""CURRENCY:EURUSD"") * H44"),0.33454259999999997)</f>
        <v>0.3345426</v>
      </c>
      <c r="H44" s="110">
        <v>0.294</v>
      </c>
    </row>
    <row r="45">
      <c r="B45" s="21" t="s">
        <v>50</v>
      </c>
      <c r="C45" s="108">
        <f>IFERROR(__xludf.DUMMYFUNCTION("GOOGLEFINANCE(""CURRENCY:USDZAR"") * D45"),0.1878456699)</f>
        <v>0.1878456699</v>
      </c>
      <c r="D45" s="108">
        <f>IFERROR(__xludf.DUMMYFUNCTION("GOOGLEFINANCE(""CURRENCY:EURUSD"") * E44"),0.011378999999999998)</f>
        <v>0.011379</v>
      </c>
      <c r="E45" s="109">
        <v>0.01</v>
      </c>
      <c r="F45" s="10">
        <f>IFERROR(__xludf.DUMMYFUNCTION("GOOGLEFINANCE(""CURRENCY:USDZAR"") * H45"),1.2381075000000001)</f>
        <v>1.2381075</v>
      </c>
      <c r="G45" s="10">
        <f>IFERROR(__xludf.DUMMYFUNCTION("GOOGLEFINANCE(""CURRENCY:EURUSD"") * H45"),0.08534249999999999)</f>
        <v>0.0853425</v>
      </c>
      <c r="H45" s="110">
        <v>0.075</v>
      </c>
    </row>
    <row r="46">
      <c r="G46" s="10"/>
    </row>
    <row r="48">
      <c r="A48" s="21" t="s">
        <v>51</v>
      </c>
      <c r="B48" s="111">
        <v>5880.0</v>
      </c>
      <c r="C48" s="17">
        <f>D44*B48</f>
        <v>66.90852</v>
      </c>
    </row>
    <row r="49">
      <c r="A49" s="21" t="s">
        <v>8</v>
      </c>
      <c r="B49" s="17">
        <f>0.5*B48</f>
        <v>2940</v>
      </c>
      <c r="C49" s="17">
        <f>B49*D44</f>
        <v>33.45426</v>
      </c>
    </row>
  </sheetData>
  <mergeCells count="19">
    <mergeCell ref="B3:C3"/>
    <mergeCell ref="H4:I4"/>
    <mergeCell ref="A15:N15"/>
    <mergeCell ref="B16:L16"/>
    <mergeCell ref="M16:N16"/>
    <mergeCell ref="B17:E17"/>
    <mergeCell ref="F17:I17"/>
    <mergeCell ref="A34:A35"/>
    <mergeCell ref="A36:A37"/>
    <mergeCell ref="A39:A40"/>
    <mergeCell ref="C42:E42"/>
    <mergeCell ref="F42:H42"/>
    <mergeCell ref="J17:L17"/>
    <mergeCell ref="M17:N17"/>
    <mergeCell ref="C27:E27"/>
    <mergeCell ref="F27:H27"/>
    <mergeCell ref="I27:L27"/>
    <mergeCell ref="A29:A30"/>
    <mergeCell ref="A31:A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3" max="3" width="18.63"/>
    <col customWidth="1" min="4" max="4" width="14.25"/>
    <col customWidth="1" min="7" max="7" width="23.88"/>
    <col customWidth="1" min="8" max="9" width="13.63"/>
    <col customWidth="1" min="10" max="10" width="16.75"/>
    <col customWidth="1" min="14" max="14" width="20.75"/>
    <col customWidth="1" min="16" max="16" width="16.0"/>
    <col customWidth="1" min="17" max="17" width="19.0"/>
  </cols>
  <sheetData>
    <row r="1">
      <c r="A1" s="112" t="s">
        <v>52</v>
      </c>
      <c r="C1" s="21"/>
      <c r="E1" s="113"/>
    </row>
    <row r="2">
      <c r="A2" s="114" t="s">
        <v>53</v>
      </c>
      <c r="E2" s="115"/>
      <c r="F2" s="114" t="s">
        <v>3</v>
      </c>
    </row>
    <row r="3">
      <c r="A3" s="116" t="s">
        <v>54</v>
      </c>
      <c r="B3" s="117"/>
      <c r="C3" s="116">
        <v>0.0</v>
      </c>
      <c r="F3" s="118" t="s">
        <v>55</v>
      </c>
      <c r="H3" s="21">
        <v>7000.0</v>
      </c>
    </row>
    <row r="4">
      <c r="A4" s="119" t="s">
        <v>56</v>
      </c>
      <c r="B4" s="120"/>
      <c r="C4" s="119">
        <v>30.0</v>
      </c>
      <c r="F4" s="118" t="s">
        <v>57</v>
      </c>
      <c r="H4" s="21">
        <v>340.0</v>
      </c>
    </row>
    <row r="5">
      <c r="A5" s="121" t="s">
        <v>58</v>
      </c>
      <c r="B5" s="122"/>
      <c r="C5" s="121">
        <v>2.0</v>
      </c>
      <c r="F5" s="123" t="s">
        <v>59</v>
      </c>
      <c r="H5" s="17">
        <f>C3*C4*C5+C8*C9*C10+C13*C14*C15+C18*C19*C20</f>
        <v>6</v>
      </c>
    </row>
    <row r="6">
      <c r="A6" s="124" t="s">
        <v>60</v>
      </c>
      <c r="B6" s="125"/>
      <c r="C6" s="124">
        <f>(C5*C24+1)*C3*C4</f>
        <v>0</v>
      </c>
      <c r="F6" s="126" t="s">
        <v>61</v>
      </c>
      <c r="H6" s="17">
        <f>H5*H3</f>
        <v>42000</v>
      </c>
    </row>
    <row r="7">
      <c r="A7" s="127" t="s">
        <v>62</v>
      </c>
      <c r="B7" s="128"/>
      <c r="C7" s="127">
        <f>C3*C4*C5</f>
        <v>0</v>
      </c>
      <c r="F7" s="129" t="s">
        <v>63</v>
      </c>
      <c r="H7" s="17">
        <f>H5*H4</f>
        <v>2040</v>
      </c>
    </row>
    <row r="8">
      <c r="A8" s="116" t="s">
        <v>64</v>
      </c>
      <c r="B8" s="130"/>
      <c r="C8" s="116">
        <v>0.0</v>
      </c>
      <c r="E8" s="21"/>
      <c r="F8" s="126" t="s">
        <v>65</v>
      </c>
      <c r="H8" s="131">
        <f>Management!I5*H6</f>
        <v>0.0105</v>
      </c>
    </row>
    <row r="9">
      <c r="A9" s="119" t="s">
        <v>66</v>
      </c>
      <c r="B9" s="120"/>
      <c r="C9" s="119">
        <v>4.0</v>
      </c>
      <c r="E9" s="21"/>
      <c r="F9" s="129" t="s">
        <v>67</v>
      </c>
      <c r="H9" s="131">
        <f>Management!I6*H7</f>
        <v>0.00306</v>
      </c>
    </row>
    <row r="10">
      <c r="A10" s="121" t="s">
        <v>58</v>
      </c>
      <c r="B10" s="122"/>
      <c r="C10" s="121">
        <v>2.0</v>
      </c>
    </row>
    <row r="11">
      <c r="A11" s="124" t="s">
        <v>60</v>
      </c>
      <c r="B11" s="125"/>
      <c r="C11" s="124">
        <f>(C10*C24+1)*C8*C9</f>
        <v>0</v>
      </c>
      <c r="F11" s="132" t="s">
        <v>68</v>
      </c>
      <c r="G11" s="133"/>
      <c r="H11" s="134">
        <f>H8+H9</f>
        <v>0.01356</v>
      </c>
    </row>
    <row r="12">
      <c r="A12" s="127" t="s">
        <v>62</v>
      </c>
      <c r="B12" s="128"/>
      <c r="C12" s="127">
        <f>C8*C9*C10</f>
        <v>0</v>
      </c>
    </row>
    <row r="13">
      <c r="A13" s="116" t="s">
        <v>69</v>
      </c>
      <c r="B13" s="130"/>
      <c r="C13" s="116">
        <v>1.0</v>
      </c>
      <c r="E13" s="21"/>
    </row>
    <row r="14">
      <c r="A14" s="119" t="s">
        <v>70</v>
      </c>
      <c r="B14" s="120"/>
      <c r="C14" s="119">
        <v>1.0</v>
      </c>
      <c r="E14" s="21"/>
    </row>
    <row r="15">
      <c r="A15" s="135" t="s">
        <v>58</v>
      </c>
      <c r="C15" s="135">
        <v>6.0</v>
      </c>
    </row>
    <row r="16">
      <c r="A16" s="124" t="s">
        <v>60</v>
      </c>
      <c r="B16" s="125"/>
      <c r="C16" s="124">
        <f>(C15*C24+1)*C13*C14</f>
        <v>10</v>
      </c>
    </row>
    <row r="17">
      <c r="A17" s="127" t="s">
        <v>62</v>
      </c>
      <c r="B17" s="128"/>
      <c r="C17" s="127">
        <f>C13*C14*C15</f>
        <v>6</v>
      </c>
    </row>
    <row r="18">
      <c r="A18" s="116" t="s">
        <v>71</v>
      </c>
      <c r="B18" s="130"/>
      <c r="C18" s="116">
        <v>0.0</v>
      </c>
      <c r="E18" s="21"/>
    </row>
    <row r="19">
      <c r="A19" s="119" t="s">
        <v>72</v>
      </c>
      <c r="B19" s="120"/>
      <c r="C19" s="119">
        <f>1/12</f>
        <v>0.08333333333</v>
      </c>
      <c r="E19" s="21"/>
    </row>
    <row r="20">
      <c r="A20" s="121" t="s">
        <v>58</v>
      </c>
      <c r="B20" s="122"/>
      <c r="C20" s="121">
        <v>0.0</v>
      </c>
    </row>
    <row r="21">
      <c r="A21" s="124" t="s">
        <v>60</v>
      </c>
      <c r="B21" s="125"/>
      <c r="C21" s="124">
        <f>(C19*C24+1)*C18*C20</f>
        <v>0</v>
      </c>
    </row>
    <row r="22">
      <c r="A22" s="127" t="s">
        <v>62</v>
      </c>
      <c r="B22" s="128"/>
      <c r="C22" s="127">
        <f>C18*C20*C19</f>
        <v>0</v>
      </c>
    </row>
    <row r="23">
      <c r="A23" s="136"/>
      <c r="C23" s="135"/>
      <c r="D23" s="137"/>
      <c r="E23" s="137"/>
    </row>
    <row r="24">
      <c r="A24" s="136" t="s">
        <v>73</v>
      </c>
      <c r="C24" s="135">
        <v>1.5</v>
      </c>
      <c r="D24" s="138" t="s">
        <v>74</v>
      </c>
      <c r="E24" s="139" t="s">
        <v>75</v>
      </c>
    </row>
    <row r="25">
      <c r="A25" s="140" t="s">
        <v>76</v>
      </c>
      <c r="B25" s="141"/>
      <c r="C25" s="142">
        <f>SUM(C6,C11,C16,C21)</f>
        <v>10</v>
      </c>
      <c r="D25" s="143">
        <f>Management!C6</f>
        <v>0.0853425</v>
      </c>
      <c r="E25" s="144">
        <f t="shared" ref="E25:E26" si="1">C25*D25</f>
        <v>0.853425</v>
      </c>
    </row>
    <row r="26">
      <c r="A26" s="145" t="s">
        <v>77</v>
      </c>
      <c r="B26" s="146"/>
      <c r="C26" s="147">
        <f>SUM(C22,C17,C12,C7)</f>
        <v>6</v>
      </c>
      <c r="D26" s="148">
        <f>Management!C7</f>
        <v>0.011379</v>
      </c>
      <c r="E26" s="149">
        <f t="shared" si="1"/>
        <v>0.068274</v>
      </c>
    </row>
    <row r="27">
      <c r="A27" s="145"/>
      <c r="B27" s="146"/>
      <c r="C27" s="147"/>
      <c r="D27" s="137"/>
      <c r="E27" s="150"/>
    </row>
    <row r="28">
      <c r="A28" s="151" t="s">
        <v>78</v>
      </c>
      <c r="G28" s="152">
        <f>SUM(E25:E26,H11)</f>
        <v>0.935259</v>
      </c>
    </row>
    <row r="29">
      <c r="A29" s="153"/>
      <c r="C29" s="21"/>
    </row>
    <row r="30">
      <c r="A30" s="112" t="s">
        <v>79</v>
      </c>
      <c r="C30" s="21"/>
    </row>
    <row r="31">
      <c r="A31" s="114" t="s">
        <v>53</v>
      </c>
      <c r="D31" s="154"/>
      <c r="F31" s="114" t="s">
        <v>3</v>
      </c>
    </row>
    <row r="32">
      <c r="A32" s="116" t="s">
        <v>80</v>
      </c>
      <c r="B32" s="130"/>
      <c r="C32" s="116">
        <v>1.0</v>
      </c>
      <c r="F32" s="118" t="s">
        <v>55</v>
      </c>
      <c r="H32" s="21">
        <v>7000.0</v>
      </c>
    </row>
    <row r="33">
      <c r="A33" s="119" t="s">
        <v>56</v>
      </c>
      <c r="C33" s="119">
        <v>30.0</v>
      </c>
      <c r="F33" s="118" t="s">
        <v>57</v>
      </c>
      <c r="H33" s="21">
        <v>340.0</v>
      </c>
    </row>
    <row r="34">
      <c r="A34" s="116" t="s">
        <v>81</v>
      </c>
      <c r="B34" s="130"/>
      <c r="C34" s="116">
        <v>0.0</v>
      </c>
      <c r="F34" s="123" t="s">
        <v>82</v>
      </c>
      <c r="H34" s="17">
        <f>(C32*C33+C34*C35+C36*C37+C38*C39)*C45</f>
        <v>6</v>
      </c>
    </row>
    <row r="35">
      <c r="A35" s="119" t="s">
        <v>66</v>
      </c>
      <c r="C35" s="119">
        <v>4.0</v>
      </c>
      <c r="F35" s="126" t="s">
        <v>61</v>
      </c>
      <c r="H35" s="17">
        <f>H34*H32</f>
        <v>42000</v>
      </c>
    </row>
    <row r="36">
      <c r="A36" s="116" t="s">
        <v>83</v>
      </c>
      <c r="B36" s="130"/>
      <c r="C36" s="116">
        <v>0.0</v>
      </c>
      <c r="E36" s="21"/>
      <c r="F36" s="129" t="s">
        <v>63</v>
      </c>
      <c r="H36" s="17">
        <f>H34*H33</f>
        <v>2040</v>
      </c>
    </row>
    <row r="37">
      <c r="A37" s="119" t="s">
        <v>70</v>
      </c>
      <c r="C37" s="119">
        <v>1.0</v>
      </c>
      <c r="E37" s="21"/>
      <c r="F37" s="126" t="s">
        <v>65</v>
      </c>
      <c r="H37" s="131">
        <f>Management!I5*H35</f>
        <v>0.0105</v>
      </c>
    </row>
    <row r="38">
      <c r="A38" s="116" t="s">
        <v>84</v>
      </c>
      <c r="B38" s="130"/>
      <c r="C38" s="116">
        <v>0.0</v>
      </c>
      <c r="E38" s="21"/>
      <c r="F38" s="129" t="s">
        <v>67</v>
      </c>
      <c r="H38" s="131">
        <f>Management!I6*H36</f>
        <v>0.00306</v>
      </c>
    </row>
    <row r="39">
      <c r="A39" s="119" t="s">
        <v>72</v>
      </c>
      <c r="C39" s="119">
        <f>1/12</f>
        <v>0.08333333333</v>
      </c>
      <c r="E39" s="21"/>
    </row>
    <row r="40">
      <c r="A40" s="155" t="s">
        <v>85</v>
      </c>
      <c r="B40" s="155"/>
      <c r="C40" s="155">
        <f>C32*C33+C34*C35+C36*C37+C38*C39</f>
        <v>30</v>
      </c>
      <c r="E40" s="21"/>
      <c r="F40" s="132" t="s">
        <v>86</v>
      </c>
      <c r="G40" s="133"/>
      <c r="H40" s="134">
        <f>H37+H38</f>
        <v>0.01356</v>
      </c>
    </row>
    <row r="41">
      <c r="A41" s="124" t="s">
        <v>87</v>
      </c>
      <c r="C41" s="124">
        <v>2.0</v>
      </c>
      <c r="E41" s="21"/>
    </row>
    <row r="42">
      <c r="A42" s="124" t="s">
        <v>88</v>
      </c>
      <c r="C42" s="124">
        <v>3.0</v>
      </c>
      <c r="E42" s="21"/>
    </row>
    <row r="43">
      <c r="A43" s="156" t="s">
        <v>89</v>
      </c>
      <c r="B43" s="128"/>
      <c r="C43" s="156">
        <v>1.0</v>
      </c>
      <c r="E43" s="21"/>
    </row>
    <row r="44">
      <c r="A44" s="135" t="s">
        <v>90</v>
      </c>
      <c r="C44" s="157">
        <v>0.8</v>
      </c>
      <c r="E44" s="21"/>
    </row>
    <row r="45">
      <c r="A45" s="158" t="s">
        <v>91</v>
      </c>
      <c r="B45" s="159"/>
      <c r="C45" s="160">
        <f>100%-C44</f>
        <v>0.2</v>
      </c>
      <c r="D45" s="161" t="s">
        <v>92</v>
      </c>
      <c r="E45" s="162" t="s">
        <v>93</v>
      </c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</row>
    <row r="46">
      <c r="A46" s="124" t="s">
        <v>94</v>
      </c>
      <c r="C46" s="124">
        <f>(C41*C44+C42*(100%-C44))*C40</f>
        <v>66</v>
      </c>
      <c r="D46" s="163">
        <f>Management!C6</f>
        <v>0.0853425</v>
      </c>
      <c r="E46" s="144">
        <f t="shared" ref="E46:E47" si="2">D46*C46</f>
        <v>5.632605</v>
      </c>
    </row>
    <row r="47">
      <c r="A47" s="156" t="s">
        <v>95</v>
      </c>
      <c r="C47" s="156">
        <f>C43*C45*C40</f>
        <v>6</v>
      </c>
      <c r="D47" s="164">
        <f>Management!C7</f>
        <v>0.011379</v>
      </c>
      <c r="E47" s="149">
        <f t="shared" si="2"/>
        <v>0.068274</v>
      </c>
    </row>
    <row r="48">
      <c r="A48" s="165"/>
      <c r="B48" s="73"/>
      <c r="C48" s="166"/>
    </row>
    <row r="49">
      <c r="A49" s="151" t="s">
        <v>78</v>
      </c>
      <c r="G49" s="152">
        <f>SUM(E46:E47,H40)</f>
        <v>5.714439</v>
      </c>
    </row>
    <row r="50">
      <c r="A50" s="153"/>
    </row>
    <row r="51">
      <c r="A51" s="153"/>
    </row>
    <row r="52">
      <c r="A52" s="153" t="s">
        <v>96</v>
      </c>
    </row>
    <row r="53">
      <c r="A53" s="114" t="s">
        <v>53</v>
      </c>
      <c r="E53" s="21"/>
      <c r="G53" s="114" t="s">
        <v>3</v>
      </c>
      <c r="J53" s="167"/>
      <c r="K53" s="167"/>
      <c r="L53" s="167"/>
    </row>
    <row r="54">
      <c r="A54" s="21" t="s">
        <v>97</v>
      </c>
      <c r="C54" s="168">
        <v>0.7</v>
      </c>
      <c r="E54" s="21"/>
      <c r="G54" s="118" t="s">
        <v>55</v>
      </c>
      <c r="I54" s="21">
        <v>7000.0</v>
      </c>
      <c r="J54" s="167"/>
      <c r="K54" s="167"/>
      <c r="L54" s="167"/>
    </row>
    <row r="55">
      <c r="A55" s="21" t="s">
        <v>98</v>
      </c>
      <c r="C55" s="21">
        <v>2.0</v>
      </c>
      <c r="G55" s="118" t="s">
        <v>57</v>
      </c>
      <c r="I55" s="21">
        <v>340.0</v>
      </c>
    </row>
    <row r="56">
      <c r="A56" s="102" t="s">
        <v>73</v>
      </c>
      <c r="B56" s="57"/>
      <c r="C56" s="102">
        <v>1.5</v>
      </c>
      <c r="G56" s="123" t="s">
        <v>82</v>
      </c>
      <c r="I56" s="17">
        <f>C54*C55</f>
        <v>1.4</v>
      </c>
    </row>
    <row r="57">
      <c r="C57" s="21"/>
      <c r="D57" s="161" t="s">
        <v>92</v>
      </c>
      <c r="E57" s="162" t="s">
        <v>93</v>
      </c>
      <c r="G57" s="126" t="s">
        <v>61</v>
      </c>
      <c r="I57" s="17">
        <f>I56*I54</f>
        <v>9800</v>
      </c>
    </row>
    <row r="58">
      <c r="A58" s="129" t="s">
        <v>94</v>
      </c>
      <c r="C58" s="21">
        <f>C55*C56*C54</f>
        <v>2.1</v>
      </c>
      <c r="D58" s="163">
        <f>Management!C6</f>
        <v>0.0853425</v>
      </c>
      <c r="E58" s="169">
        <f t="shared" ref="E58:E59" si="3">D58*C58</f>
        <v>0.17921925</v>
      </c>
      <c r="G58" s="129" t="s">
        <v>63</v>
      </c>
      <c r="I58" s="17">
        <f>I56*I55</f>
        <v>476</v>
      </c>
    </row>
    <row r="59">
      <c r="A59" s="126" t="s">
        <v>95</v>
      </c>
      <c r="C59" s="21">
        <f>C55*C54</f>
        <v>1.4</v>
      </c>
      <c r="D59" s="164">
        <f>Management!C7</f>
        <v>0.011379</v>
      </c>
      <c r="E59" s="170">
        <f t="shared" si="3"/>
        <v>0.0159306</v>
      </c>
      <c r="G59" s="126" t="s">
        <v>65</v>
      </c>
      <c r="I59" s="131">
        <f>Management!I5*I57</f>
        <v>0.00245</v>
      </c>
    </row>
    <row r="60">
      <c r="A60" s="132"/>
      <c r="C60" s="133"/>
      <c r="G60" s="129" t="s">
        <v>67</v>
      </c>
      <c r="I60" s="131">
        <f>Management!I6*I58</f>
        <v>0.000714</v>
      </c>
    </row>
    <row r="62">
      <c r="A62" s="171"/>
      <c r="B62" s="172"/>
      <c r="G62" s="132" t="s">
        <v>99</v>
      </c>
      <c r="H62" s="133"/>
      <c r="I62" s="134">
        <f>I59+I60</f>
        <v>0.003164</v>
      </c>
    </row>
    <row r="63">
      <c r="A63" s="173"/>
      <c r="B63" s="173"/>
      <c r="C63" s="173"/>
      <c r="D63" s="173"/>
      <c r="E63" s="173"/>
      <c r="F63" s="173"/>
      <c r="G63" s="174"/>
      <c r="H63" s="133"/>
      <c r="I63" s="133"/>
    </row>
    <row r="64">
      <c r="A64" s="151" t="s">
        <v>78</v>
      </c>
      <c r="G64" s="152">
        <f>SUM(E58:E59,I62)</f>
        <v>0.19831385</v>
      </c>
      <c r="H64" s="133"/>
      <c r="I64" s="133"/>
    </row>
    <row r="65">
      <c r="A65" s="171"/>
      <c r="B65" s="172"/>
      <c r="G65" s="132"/>
      <c r="H65" s="133"/>
      <c r="I65" s="133"/>
    </row>
    <row r="66">
      <c r="A66" s="171" t="s">
        <v>100</v>
      </c>
      <c r="B66" s="172"/>
      <c r="G66" s="132"/>
      <c r="H66" s="133"/>
      <c r="I66" s="133"/>
    </row>
    <row r="67">
      <c r="A67" s="175" t="s">
        <v>101</v>
      </c>
      <c r="B67" s="125">
        <f t="shared" ref="B67:B68" si="4">SUM(E25,E46,E58)</f>
        <v>6.66524925</v>
      </c>
    </row>
    <row r="68">
      <c r="A68" s="126" t="s">
        <v>102</v>
      </c>
      <c r="B68" s="176">
        <f t="shared" si="4"/>
        <v>0.1524786</v>
      </c>
      <c r="C68" s="111"/>
    </row>
    <row r="69">
      <c r="C69" s="168"/>
    </row>
    <row r="70">
      <c r="A70" s="132" t="s">
        <v>103</v>
      </c>
      <c r="B70" s="133">
        <f>SUm(B67:B68)</f>
        <v>6.81772785</v>
      </c>
    </row>
    <row r="71">
      <c r="A71" s="177" t="s">
        <v>104</v>
      </c>
      <c r="B71" s="178">
        <f>Management!C11*B70</f>
        <v>1124.925095</v>
      </c>
      <c r="C71" s="168"/>
    </row>
    <row r="72">
      <c r="A72" s="21"/>
      <c r="C72" s="168"/>
    </row>
    <row r="73">
      <c r="A73" s="132" t="s">
        <v>105</v>
      </c>
      <c r="B73" s="179">
        <f>I62+H40+H11</f>
        <v>0.030284</v>
      </c>
      <c r="C73" s="168"/>
    </row>
    <row r="74">
      <c r="A74" s="21" t="s">
        <v>104</v>
      </c>
      <c r="B74" s="180">
        <f>Management!C11*B73</f>
        <v>4.99686</v>
      </c>
    </row>
    <row r="75">
      <c r="A75" s="132"/>
      <c r="B75" s="133"/>
      <c r="C75" s="81"/>
      <c r="F75" s="111"/>
    </row>
    <row r="76">
      <c r="A76" s="181" t="s">
        <v>106</v>
      </c>
      <c r="B76" s="182">
        <f t="shared" ref="B76:B77" si="5">B70+B73</f>
        <v>6.84801185</v>
      </c>
      <c r="C76" s="81"/>
    </row>
    <row r="77">
      <c r="A77" s="183" t="s">
        <v>104</v>
      </c>
      <c r="B77" s="184">
        <f t="shared" si="5"/>
        <v>1129.921955</v>
      </c>
      <c r="C77" s="81"/>
    </row>
    <row r="78">
      <c r="A78" s="132"/>
      <c r="C78" s="133"/>
    </row>
    <row r="79">
      <c r="C79" s="81"/>
    </row>
    <row r="80">
      <c r="C80" s="185"/>
    </row>
    <row r="81">
      <c r="C81" s="185"/>
    </row>
    <row r="82">
      <c r="A82" s="135"/>
      <c r="C82" s="186"/>
    </row>
    <row r="83">
      <c r="A83" s="135"/>
      <c r="C83" s="186"/>
    </row>
    <row r="85">
      <c r="A85" s="187"/>
      <c r="B85" s="188"/>
      <c r="C85" s="189"/>
    </row>
    <row r="86">
      <c r="A86" s="187"/>
      <c r="C86" s="190"/>
    </row>
    <row r="87">
      <c r="C87" s="191"/>
    </row>
    <row r="88">
      <c r="C88" s="192"/>
      <c r="Q88" s="193"/>
    </row>
    <row r="89">
      <c r="A89" s="21"/>
      <c r="C89" s="192"/>
    </row>
    <row r="90">
      <c r="C90" s="192"/>
    </row>
    <row r="91">
      <c r="A91" s="37"/>
    </row>
    <row r="92">
      <c r="A92" s="194"/>
      <c r="B92" s="195"/>
      <c r="C92" s="196"/>
    </row>
    <row r="94">
      <c r="A94" s="132"/>
      <c r="B94" s="133"/>
      <c r="C94" s="197"/>
    </row>
    <row r="95">
      <c r="A95" s="154"/>
    </row>
    <row r="96">
      <c r="A96" s="154"/>
    </row>
    <row r="97">
      <c r="A97" s="154"/>
    </row>
    <row r="112">
      <c r="H112" s="21"/>
    </row>
    <row r="122">
      <c r="J122" s="198"/>
    </row>
    <row r="123">
      <c r="J123" s="198"/>
    </row>
    <row r="124">
      <c r="J124" s="188"/>
    </row>
  </sheetData>
  <mergeCells count="9">
    <mergeCell ref="A53:C53"/>
    <mergeCell ref="A64:F64"/>
    <mergeCell ref="A2:C2"/>
    <mergeCell ref="F2:H2"/>
    <mergeCell ref="A28:F28"/>
    <mergeCell ref="A31:C31"/>
    <mergeCell ref="F31:H31"/>
    <mergeCell ref="A49:F49"/>
    <mergeCell ref="G53:I53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5" max="5" width="15.13"/>
    <col customWidth="1" min="7" max="7" width="17.25"/>
    <col customWidth="1" min="8" max="8" width="18.5"/>
  </cols>
  <sheetData>
    <row r="3">
      <c r="C3" s="199" t="s">
        <v>107</v>
      </c>
      <c r="D3" s="199" t="s">
        <v>108</v>
      </c>
      <c r="E3" s="199" t="s">
        <v>109</v>
      </c>
      <c r="F3" s="199" t="s">
        <v>110</v>
      </c>
      <c r="G3" s="200" t="s">
        <v>111</v>
      </c>
      <c r="H3" s="200" t="s">
        <v>112</v>
      </c>
      <c r="I3" s="114" t="s">
        <v>113</v>
      </c>
      <c r="J3" s="201" t="s">
        <v>114</v>
      </c>
    </row>
    <row r="4">
      <c r="C4" s="21" t="s">
        <v>115</v>
      </c>
      <c r="D4" s="180">
        <f>'M&amp;E Agent'!B76</f>
        <v>1.4955819</v>
      </c>
      <c r="E4" s="202">
        <f>'M&amp;E Agent'!B77</f>
        <v>246.7710135</v>
      </c>
      <c r="F4" s="168">
        <v>0.6</v>
      </c>
      <c r="G4" s="203">
        <f t="shared" ref="G4:G7" si="1">D4+(D4*F4)</f>
        <v>2.39293104</v>
      </c>
      <c r="H4" s="184">
        <f t="shared" ref="H4:H7" si="2">E4+(E4*F4)</f>
        <v>394.8336216</v>
      </c>
      <c r="I4" s="204" t="b">
        <v>1</v>
      </c>
      <c r="J4" s="117" t="b">
        <v>0</v>
      </c>
    </row>
    <row r="5">
      <c r="C5" s="21" t="s">
        <v>116</v>
      </c>
      <c r="D5" s="180">
        <f>'Bee Keepr Agent'!B76</f>
        <v>0.7775903</v>
      </c>
      <c r="E5" s="202">
        <f>'Bee Keepr Agent'!B77</f>
        <v>128.3023995</v>
      </c>
      <c r="F5" s="168">
        <v>0.6</v>
      </c>
      <c r="G5" s="203">
        <f t="shared" si="1"/>
        <v>1.24414448</v>
      </c>
      <c r="H5" s="184">
        <f t="shared" si="2"/>
        <v>205.2838392</v>
      </c>
      <c r="I5" s="204" t="b">
        <v>1</v>
      </c>
      <c r="J5" s="117" t="b">
        <v>0</v>
      </c>
    </row>
    <row r="6">
      <c r="C6" s="21" t="s">
        <v>117</v>
      </c>
      <c r="D6" s="180">
        <f>'Pest Diagnosis Agent'!B76</f>
        <v>1.080308075</v>
      </c>
      <c r="E6" s="202">
        <f>'Pest Diagnosis Agent'!B77</f>
        <v>178.2508324</v>
      </c>
      <c r="F6" s="168">
        <v>0.6</v>
      </c>
      <c r="G6" s="203">
        <f t="shared" si="1"/>
        <v>1.72849292</v>
      </c>
      <c r="H6" s="184">
        <f t="shared" si="2"/>
        <v>285.2013318</v>
      </c>
      <c r="I6" s="204" t="b">
        <v>0</v>
      </c>
      <c r="J6" s="117" t="b">
        <v>1</v>
      </c>
    </row>
    <row r="7">
      <c r="C7" s="21" t="s">
        <v>118</v>
      </c>
      <c r="D7" s="180">
        <f>'Customer Service Agent'!B76</f>
        <v>7.64126725</v>
      </c>
      <c r="E7" s="202">
        <f>'Customer Service Agent'!B77</f>
        <v>76.4126725</v>
      </c>
      <c r="F7" s="168">
        <v>0.4</v>
      </c>
      <c r="G7" s="203">
        <f t="shared" si="1"/>
        <v>10.69777415</v>
      </c>
      <c r="H7" s="184">
        <f t="shared" si="2"/>
        <v>106.9777415</v>
      </c>
      <c r="I7" s="204" t="b">
        <v>0</v>
      </c>
      <c r="J7" s="117" t="b">
        <v>1</v>
      </c>
    </row>
    <row r="8">
      <c r="G8" s="205">
        <f>G4*I4+G5*I5+G6*I6+G7*I7</f>
        <v>3.63707552</v>
      </c>
      <c r="H8" s="206">
        <f>H4*I4+H5*I5+H6*I6+H7*I7</f>
        <v>600.1174608</v>
      </c>
    </row>
    <row r="10">
      <c r="C10" s="33" t="s">
        <v>119</v>
      </c>
      <c r="D10" s="207" t="s">
        <v>120</v>
      </c>
      <c r="E10" s="207" t="s">
        <v>121</v>
      </c>
    </row>
    <row r="11">
      <c r="C11" s="21" t="s">
        <v>122</v>
      </c>
      <c r="D11" s="17">
        <f>Management!C8</f>
        <v>22.64421</v>
      </c>
      <c r="E11" s="17">
        <f>Management!D8</f>
        <v>11.26521</v>
      </c>
    </row>
    <row r="12">
      <c r="C12" s="21" t="s">
        <v>123</v>
      </c>
      <c r="D12" s="17">
        <f>Management!C9</f>
        <v>93.02321</v>
      </c>
      <c r="E12" s="17">
        <f>Management!D9</f>
        <v>81.64421</v>
      </c>
    </row>
    <row r="13">
      <c r="C13" s="183" t="s">
        <v>124</v>
      </c>
      <c r="D13" s="208">
        <f t="shared" ref="D13:E13" si="3">D11+(D12*11)</f>
        <v>1045.89952</v>
      </c>
      <c r="E13" s="208">
        <f t="shared" si="3"/>
        <v>909.35152</v>
      </c>
    </row>
    <row r="16">
      <c r="F16" s="33"/>
    </row>
    <row r="17">
      <c r="C17" s="209" t="s">
        <v>113</v>
      </c>
      <c r="D17" s="207" t="s">
        <v>120</v>
      </c>
      <c r="E17" s="207" t="s">
        <v>121</v>
      </c>
    </row>
    <row r="18">
      <c r="C18" s="204" t="s">
        <v>125</v>
      </c>
      <c r="D18" s="210">
        <f>H8+D12</f>
        <v>693.1406708</v>
      </c>
      <c r="E18" s="210">
        <f>H8+E12</f>
        <v>681.7616708</v>
      </c>
    </row>
    <row r="19">
      <c r="C19" s="211" t="s">
        <v>126</v>
      </c>
      <c r="D19" s="210">
        <f>D18/Management!C11</f>
        <v>4.20085255</v>
      </c>
      <c r="E19" s="210">
        <f>E18/Management!C11</f>
        <v>4.131888914</v>
      </c>
    </row>
    <row r="20">
      <c r="C20" s="204"/>
      <c r="D20" s="212"/>
      <c r="E20" s="212"/>
    </row>
    <row r="22">
      <c r="C22" s="213" t="s">
        <v>114</v>
      </c>
      <c r="D22" s="130"/>
    </row>
    <row r="23">
      <c r="C23" s="117" t="s">
        <v>127</v>
      </c>
      <c r="D23" s="214">
        <f>H4*J4+H5*J5+H6*J6+H7*J7</f>
        <v>392.1790733</v>
      </c>
    </row>
    <row r="24">
      <c r="C24" s="117" t="s">
        <v>128</v>
      </c>
      <c r="D24" s="215">
        <f>G4*J4+G5*J5+G6*J6+G7*J7</f>
        <v>12.42626707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3" max="3" width="18.63"/>
    <col customWidth="1" min="4" max="4" width="14.25"/>
    <col customWidth="1" min="7" max="7" width="23.88"/>
    <col customWidth="1" min="8" max="9" width="13.63"/>
    <col customWidth="1" min="10" max="10" width="16.75"/>
    <col customWidth="1" min="14" max="14" width="20.75"/>
    <col customWidth="1" min="16" max="16" width="16.0"/>
    <col customWidth="1" min="17" max="17" width="19.0"/>
  </cols>
  <sheetData>
    <row r="1">
      <c r="A1" s="112" t="s">
        <v>52</v>
      </c>
      <c r="C1" s="21"/>
      <c r="E1" s="113"/>
    </row>
    <row r="2">
      <c r="A2" s="114" t="s">
        <v>53</v>
      </c>
      <c r="E2" s="115"/>
      <c r="F2" s="114" t="s">
        <v>3</v>
      </c>
    </row>
    <row r="3">
      <c r="A3" s="116" t="s">
        <v>54</v>
      </c>
      <c r="B3" s="117"/>
      <c r="C3" s="116">
        <v>0.0</v>
      </c>
      <c r="F3" s="118" t="s">
        <v>55</v>
      </c>
      <c r="H3" s="21">
        <v>7000.0</v>
      </c>
    </row>
    <row r="4">
      <c r="A4" s="119" t="s">
        <v>56</v>
      </c>
      <c r="B4" s="120"/>
      <c r="C4" s="119">
        <v>30.0</v>
      </c>
      <c r="F4" s="118" t="s">
        <v>57</v>
      </c>
      <c r="H4" s="21">
        <v>340.0</v>
      </c>
    </row>
    <row r="5">
      <c r="A5" s="121" t="s">
        <v>58</v>
      </c>
      <c r="B5" s="122"/>
      <c r="C5" s="121">
        <v>2.0</v>
      </c>
      <c r="F5" s="123" t="s">
        <v>59</v>
      </c>
      <c r="H5" s="17">
        <f>C3*C4*C5+C8*C9*C10+C13*C14*C15+C18*C19*C20</f>
        <v>6</v>
      </c>
    </row>
    <row r="6">
      <c r="A6" s="124" t="s">
        <v>60</v>
      </c>
      <c r="B6" s="125"/>
      <c r="C6" s="124">
        <f>(C5*C24+1)*C3*C4</f>
        <v>0</v>
      </c>
      <c r="F6" s="126" t="s">
        <v>61</v>
      </c>
      <c r="H6" s="17">
        <f>H5*H3</f>
        <v>42000</v>
      </c>
    </row>
    <row r="7">
      <c r="A7" s="127" t="s">
        <v>62</v>
      </c>
      <c r="B7" s="128"/>
      <c r="C7" s="127">
        <f>C3*C4*C5</f>
        <v>0</v>
      </c>
      <c r="F7" s="129" t="s">
        <v>63</v>
      </c>
      <c r="H7" s="17">
        <f>H5*H4</f>
        <v>2040</v>
      </c>
    </row>
    <row r="8">
      <c r="A8" s="116" t="s">
        <v>64</v>
      </c>
      <c r="B8" s="130"/>
      <c r="C8" s="116">
        <v>0.0</v>
      </c>
      <c r="E8" s="21"/>
      <c r="F8" s="126" t="s">
        <v>65</v>
      </c>
      <c r="H8" s="131">
        <f>Management!I5*H6</f>
        <v>0.0105</v>
      </c>
    </row>
    <row r="9">
      <c r="A9" s="119" t="s">
        <v>66</v>
      </c>
      <c r="B9" s="120"/>
      <c r="C9" s="119">
        <v>4.0</v>
      </c>
      <c r="E9" s="21"/>
      <c r="F9" s="129" t="s">
        <v>67</v>
      </c>
      <c r="H9" s="131">
        <f>Management!I6*H7</f>
        <v>0.00306</v>
      </c>
    </row>
    <row r="10">
      <c r="A10" s="121" t="s">
        <v>58</v>
      </c>
      <c r="B10" s="122"/>
      <c r="C10" s="121">
        <v>2.0</v>
      </c>
    </row>
    <row r="11">
      <c r="A11" s="124" t="s">
        <v>60</v>
      </c>
      <c r="B11" s="125"/>
      <c r="C11" s="124">
        <f>(C10*C24+1)*C8*C9</f>
        <v>0</v>
      </c>
      <c r="F11" s="132" t="s">
        <v>68</v>
      </c>
      <c r="G11" s="133"/>
      <c r="H11" s="134">
        <f>H8+H9</f>
        <v>0.01356</v>
      </c>
    </row>
    <row r="12">
      <c r="A12" s="127" t="s">
        <v>62</v>
      </c>
      <c r="B12" s="128"/>
      <c r="C12" s="127">
        <f>C8*C9*C10</f>
        <v>0</v>
      </c>
    </row>
    <row r="13">
      <c r="A13" s="116" t="s">
        <v>69</v>
      </c>
      <c r="B13" s="130"/>
      <c r="C13" s="116">
        <v>1.0</v>
      </c>
      <c r="E13" s="21"/>
    </row>
    <row r="14">
      <c r="A14" s="119" t="s">
        <v>70</v>
      </c>
      <c r="B14" s="120"/>
      <c r="C14" s="119">
        <v>1.0</v>
      </c>
      <c r="E14" s="21"/>
    </row>
    <row r="15">
      <c r="A15" s="135" t="s">
        <v>58</v>
      </c>
      <c r="C15" s="135">
        <v>6.0</v>
      </c>
    </row>
    <row r="16">
      <c r="A16" s="124" t="s">
        <v>60</v>
      </c>
      <c r="B16" s="125"/>
      <c r="C16" s="124">
        <f>(C15*C24+1)*C13*C14</f>
        <v>10</v>
      </c>
    </row>
    <row r="17">
      <c r="A17" s="127" t="s">
        <v>62</v>
      </c>
      <c r="B17" s="128"/>
      <c r="C17" s="127">
        <f>C13*C14*C15</f>
        <v>6</v>
      </c>
    </row>
    <row r="18">
      <c r="A18" s="116" t="s">
        <v>71</v>
      </c>
      <c r="B18" s="130"/>
      <c r="C18" s="116">
        <v>0.0</v>
      </c>
      <c r="E18" s="21"/>
    </row>
    <row r="19">
      <c r="A19" s="119" t="s">
        <v>72</v>
      </c>
      <c r="B19" s="120"/>
      <c r="C19" s="119">
        <f>1/12</f>
        <v>0.08333333333</v>
      </c>
      <c r="E19" s="21"/>
    </row>
    <row r="20">
      <c r="A20" s="121" t="s">
        <v>58</v>
      </c>
      <c r="B20" s="122"/>
      <c r="C20" s="121">
        <v>0.0</v>
      </c>
    </row>
    <row r="21">
      <c r="A21" s="124" t="s">
        <v>60</v>
      </c>
      <c r="B21" s="125"/>
      <c r="C21" s="124">
        <f>(C19*C24+1)*C18*C20</f>
        <v>0</v>
      </c>
    </row>
    <row r="22">
      <c r="A22" s="127" t="s">
        <v>62</v>
      </c>
      <c r="B22" s="128"/>
      <c r="C22" s="127">
        <f>C18*C20*C19</f>
        <v>0</v>
      </c>
    </row>
    <row r="23">
      <c r="A23" s="136"/>
      <c r="C23" s="135"/>
      <c r="D23" s="137"/>
      <c r="E23" s="137"/>
    </row>
    <row r="24">
      <c r="A24" s="136" t="s">
        <v>73</v>
      </c>
      <c r="C24" s="135">
        <v>1.5</v>
      </c>
      <c r="D24" s="138" t="s">
        <v>74</v>
      </c>
      <c r="E24" s="139" t="s">
        <v>75</v>
      </c>
    </row>
    <row r="25">
      <c r="A25" s="140" t="s">
        <v>76</v>
      </c>
      <c r="B25" s="141"/>
      <c r="C25" s="142">
        <f>SUM(C6,C11,C16,C21)</f>
        <v>10</v>
      </c>
      <c r="D25" s="143">
        <f>Management!C6</f>
        <v>0.0853425</v>
      </c>
      <c r="E25" s="144">
        <f t="shared" ref="E25:E26" si="1">C25*D25</f>
        <v>0.853425</v>
      </c>
    </row>
    <row r="26">
      <c r="A26" s="145" t="s">
        <v>77</v>
      </c>
      <c r="B26" s="146"/>
      <c r="C26" s="147">
        <f>SUM(C22,C17,C12,C7)</f>
        <v>6</v>
      </c>
      <c r="D26" s="148">
        <f>Management!C7</f>
        <v>0.011379</v>
      </c>
      <c r="E26" s="149">
        <f t="shared" si="1"/>
        <v>0.068274</v>
      </c>
    </row>
    <row r="27">
      <c r="A27" s="145"/>
      <c r="B27" s="146"/>
      <c r="C27" s="147"/>
      <c r="D27" s="137"/>
      <c r="E27" s="150"/>
    </row>
    <row r="28">
      <c r="A28" s="151" t="s">
        <v>78</v>
      </c>
      <c r="G28" s="152">
        <f>SUM(E25:E26,H11)</f>
        <v>0.935259</v>
      </c>
    </row>
    <row r="29">
      <c r="A29" s="153"/>
      <c r="C29" s="21"/>
    </row>
    <row r="30">
      <c r="A30" s="112" t="s">
        <v>79</v>
      </c>
      <c r="C30" s="21"/>
    </row>
    <row r="31">
      <c r="A31" s="114" t="s">
        <v>53</v>
      </c>
      <c r="D31" s="154"/>
      <c r="F31" s="114" t="s">
        <v>3</v>
      </c>
    </row>
    <row r="32">
      <c r="A32" s="116" t="s">
        <v>80</v>
      </c>
      <c r="B32" s="130"/>
      <c r="C32" s="116">
        <v>1.0</v>
      </c>
      <c r="F32" s="118" t="s">
        <v>55</v>
      </c>
      <c r="H32" s="21">
        <v>7000.0</v>
      </c>
    </row>
    <row r="33">
      <c r="A33" s="119" t="s">
        <v>56</v>
      </c>
      <c r="C33" s="119">
        <v>30.0</v>
      </c>
      <c r="F33" s="118" t="s">
        <v>57</v>
      </c>
      <c r="H33" s="21">
        <v>340.0</v>
      </c>
    </row>
    <row r="34">
      <c r="A34" s="116" t="s">
        <v>81</v>
      </c>
      <c r="B34" s="130"/>
      <c r="C34" s="116">
        <v>0.0</v>
      </c>
      <c r="F34" s="123" t="s">
        <v>82</v>
      </c>
      <c r="H34" s="17">
        <f>(C32*C33+C34*C35+C36*C37+C38*C39)*C45</f>
        <v>6</v>
      </c>
    </row>
    <row r="35">
      <c r="A35" s="119" t="s">
        <v>66</v>
      </c>
      <c r="C35" s="119">
        <v>4.0</v>
      </c>
      <c r="F35" s="126" t="s">
        <v>61</v>
      </c>
      <c r="H35" s="17">
        <f>H34*H32</f>
        <v>42000</v>
      </c>
    </row>
    <row r="36">
      <c r="A36" s="116" t="s">
        <v>83</v>
      </c>
      <c r="B36" s="130"/>
      <c r="C36" s="116">
        <v>0.0</v>
      </c>
      <c r="E36" s="21"/>
      <c r="F36" s="129" t="s">
        <v>63</v>
      </c>
      <c r="H36" s="17">
        <f>H34*H33</f>
        <v>2040</v>
      </c>
    </row>
    <row r="37">
      <c r="A37" s="119" t="s">
        <v>70</v>
      </c>
      <c r="C37" s="119">
        <v>1.0</v>
      </c>
      <c r="E37" s="21"/>
      <c r="F37" s="126" t="s">
        <v>65</v>
      </c>
      <c r="H37" s="131">
        <f>Management!I5*H35</f>
        <v>0.0105</v>
      </c>
    </row>
    <row r="38">
      <c r="A38" s="116" t="s">
        <v>84</v>
      </c>
      <c r="B38" s="130"/>
      <c r="C38" s="116">
        <v>0.0</v>
      </c>
      <c r="E38" s="21"/>
      <c r="F38" s="129" t="s">
        <v>67</v>
      </c>
      <c r="H38" s="131">
        <f>Management!I6*H36</f>
        <v>0.00306</v>
      </c>
    </row>
    <row r="39">
      <c r="A39" s="119" t="s">
        <v>72</v>
      </c>
      <c r="C39" s="119">
        <f>1/12</f>
        <v>0.08333333333</v>
      </c>
      <c r="E39" s="21"/>
    </row>
    <row r="40">
      <c r="A40" s="155" t="s">
        <v>85</v>
      </c>
      <c r="B40" s="155"/>
      <c r="C40" s="155">
        <f>C32*C33+C34*C35+C36*C37+C38*C39</f>
        <v>30</v>
      </c>
      <c r="E40" s="21"/>
      <c r="F40" s="132" t="s">
        <v>86</v>
      </c>
      <c r="G40" s="133"/>
      <c r="H40" s="134">
        <f>H37+H38</f>
        <v>0.01356</v>
      </c>
    </row>
    <row r="41">
      <c r="A41" s="124" t="s">
        <v>87</v>
      </c>
      <c r="C41" s="124">
        <v>2.0</v>
      </c>
      <c r="E41" s="21"/>
    </row>
    <row r="42">
      <c r="A42" s="124" t="s">
        <v>88</v>
      </c>
      <c r="C42" s="124">
        <v>3.0</v>
      </c>
      <c r="E42" s="21"/>
    </row>
    <row r="43">
      <c r="A43" s="156" t="s">
        <v>89</v>
      </c>
      <c r="B43" s="128"/>
      <c r="C43" s="156">
        <v>1.0</v>
      </c>
      <c r="E43" s="21"/>
    </row>
    <row r="44">
      <c r="A44" s="135" t="s">
        <v>90</v>
      </c>
      <c r="C44" s="157">
        <v>0.8</v>
      </c>
      <c r="E44" s="21"/>
    </row>
    <row r="45">
      <c r="A45" s="158" t="s">
        <v>91</v>
      </c>
      <c r="B45" s="159"/>
      <c r="C45" s="160">
        <f>100%-C44</f>
        <v>0.2</v>
      </c>
      <c r="D45" s="161" t="s">
        <v>92</v>
      </c>
      <c r="E45" s="162" t="s">
        <v>93</v>
      </c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</row>
    <row r="46">
      <c r="A46" s="124" t="s">
        <v>94</v>
      </c>
      <c r="C46" s="124">
        <f>(C41*C44+C42*(100%-C44))*C40</f>
        <v>66</v>
      </c>
      <c r="D46" s="163">
        <f>Management!C6</f>
        <v>0.0853425</v>
      </c>
      <c r="E46" s="144">
        <f t="shared" ref="E46:E47" si="2">D46*C46</f>
        <v>5.632605</v>
      </c>
    </row>
    <row r="47">
      <c r="A47" s="156" t="s">
        <v>95</v>
      </c>
      <c r="C47" s="156">
        <f>C43*C45*C40</f>
        <v>6</v>
      </c>
      <c r="D47" s="164">
        <f>Management!C7</f>
        <v>0.011379</v>
      </c>
      <c r="E47" s="149">
        <f t="shared" si="2"/>
        <v>0.068274</v>
      </c>
    </row>
    <row r="48">
      <c r="A48" s="165"/>
      <c r="B48" s="73"/>
      <c r="C48" s="166"/>
    </row>
    <row r="49">
      <c r="A49" s="151" t="s">
        <v>78</v>
      </c>
      <c r="G49" s="152">
        <f>SUM(E46:E47,H40)</f>
        <v>5.714439</v>
      </c>
    </row>
    <row r="50">
      <c r="A50" s="153"/>
    </row>
    <row r="51">
      <c r="A51" s="153"/>
    </row>
    <row r="52">
      <c r="A52" s="153" t="s">
        <v>96</v>
      </c>
    </row>
    <row r="53">
      <c r="A53" s="114" t="s">
        <v>53</v>
      </c>
      <c r="E53" s="21"/>
      <c r="G53" s="114" t="s">
        <v>3</v>
      </c>
      <c r="J53" s="167"/>
      <c r="K53" s="167"/>
      <c r="L53" s="167"/>
    </row>
    <row r="54">
      <c r="A54" s="21" t="s">
        <v>97</v>
      </c>
      <c r="C54" s="168">
        <v>0.7</v>
      </c>
      <c r="E54" s="21"/>
      <c r="G54" s="118" t="s">
        <v>55</v>
      </c>
      <c r="I54" s="21">
        <v>7000.0</v>
      </c>
      <c r="J54" s="167"/>
      <c r="K54" s="167"/>
      <c r="L54" s="167"/>
    </row>
    <row r="55">
      <c r="A55" s="21" t="s">
        <v>98</v>
      </c>
      <c r="C55" s="21">
        <v>10.0</v>
      </c>
      <c r="G55" s="118" t="s">
        <v>57</v>
      </c>
      <c r="I55" s="21">
        <v>340.0</v>
      </c>
    </row>
    <row r="56">
      <c r="A56" s="102" t="s">
        <v>73</v>
      </c>
      <c r="B56" s="57"/>
      <c r="C56" s="102">
        <v>1.5</v>
      </c>
      <c r="G56" s="123" t="s">
        <v>82</v>
      </c>
      <c r="I56" s="17">
        <f>C54*C55</f>
        <v>7</v>
      </c>
    </row>
    <row r="57">
      <c r="C57" s="21"/>
      <c r="D57" s="161" t="s">
        <v>92</v>
      </c>
      <c r="E57" s="162" t="s">
        <v>93</v>
      </c>
      <c r="G57" s="126" t="s">
        <v>61</v>
      </c>
      <c r="I57" s="17">
        <f>I56*I54</f>
        <v>49000</v>
      </c>
    </row>
    <row r="58">
      <c r="A58" s="129" t="s">
        <v>94</v>
      </c>
      <c r="C58" s="21">
        <f>C55*C56*C54</f>
        <v>10.5</v>
      </c>
      <c r="D58" s="163">
        <f>Management!C6</f>
        <v>0.0853425</v>
      </c>
      <c r="E58" s="169">
        <f t="shared" ref="E58:E59" si="3">D58*C58</f>
        <v>0.89609625</v>
      </c>
      <c r="G58" s="129" t="s">
        <v>63</v>
      </c>
      <c r="I58" s="17">
        <f>I56*I55</f>
        <v>2380</v>
      </c>
    </row>
    <row r="59">
      <c r="A59" s="126" t="s">
        <v>95</v>
      </c>
      <c r="C59" s="21">
        <f>C55*C54</f>
        <v>7</v>
      </c>
      <c r="D59" s="164">
        <f>Management!C7</f>
        <v>0.011379</v>
      </c>
      <c r="E59" s="170">
        <f t="shared" si="3"/>
        <v>0.079653</v>
      </c>
      <c r="G59" s="126" t="s">
        <v>65</v>
      </c>
      <c r="I59" s="131">
        <f>Management!I5*I57</f>
        <v>0.01225</v>
      </c>
    </row>
    <row r="60">
      <c r="A60" s="132"/>
      <c r="C60" s="133"/>
      <c r="G60" s="129" t="s">
        <v>67</v>
      </c>
      <c r="I60" s="131">
        <f>Management!I6*I58</f>
        <v>0.00357</v>
      </c>
    </row>
    <row r="62">
      <c r="A62" s="171"/>
      <c r="B62" s="172"/>
      <c r="G62" s="132" t="s">
        <v>99</v>
      </c>
      <c r="H62" s="133"/>
      <c r="I62" s="134">
        <f>I59+I60</f>
        <v>0.01582</v>
      </c>
    </row>
    <row r="63">
      <c r="A63" s="173"/>
      <c r="B63" s="173"/>
      <c r="C63" s="173"/>
      <c r="D63" s="173"/>
      <c r="E63" s="173"/>
      <c r="F63" s="173"/>
      <c r="G63" s="174"/>
      <c r="H63" s="133"/>
      <c r="I63" s="133"/>
    </row>
    <row r="64">
      <c r="A64" s="151" t="s">
        <v>78</v>
      </c>
      <c r="G64" s="152">
        <f>SUM(E58:E59,I62)</f>
        <v>0.99156925</v>
      </c>
      <c r="H64" s="133"/>
      <c r="I64" s="133"/>
    </row>
    <row r="65">
      <c r="A65" s="171"/>
      <c r="B65" s="172"/>
      <c r="G65" s="132"/>
      <c r="H65" s="133"/>
      <c r="I65" s="133"/>
    </row>
    <row r="66">
      <c r="A66" s="171" t="s">
        <v>100</v>
      </c>
      <c r="B66" s="172"/>
      <c r="G66" s="132"/>
      <c r="H66" s="133"/>
      <c r="I66" s="133"/>
    </row>
    <row r="67">
      <c r="A67" s="175" t="s">
        <v>101</v>
      </c>
      <c r="B67" s="125">
        <f t="shared" ref="B67:B68" si="4">SUM(E25,E46,E58)</f>
        <v>7.38212625</v>
      </c>
    </row>
    <row r="68">
      <c r="A68" s="126" t="s">
        <v>102</v>
      </c>
      <c r="B68" s="176">
        <f t="shared" si="4"/>
        <v>0.216201</v>
      </c>
      <c r="C68" s="111"/>
    </row>
    <row r="69">
      <c r="C69" s="168"/>
    </row>
    <row r="70">
      <c r="A70" s="132" t="s">
        <v>103</v>
      </c>
      <c r="B70" s="133">
        <f>SUm(B67:B68)</f>
        <v>7.59832725</v>
      </c>
    </row>
    <row r="71">
      <c r="A71" s="177" t="s">
        <v>104</v>
      </c>
      <c r="B71" s="178">
        <f>B80*B70</f>
        <v>75.9832725</v>
      </c>
      <c r="C71" s="168"/>
    </row>
    <row r="72">
      <c r="A72" s="21"/>
      <c r="C72" s="168"/>
    </row>
    <row r="73">
      <c r="A73" s="132" t="s">
        <v>105</v>
      </c>
      <c r="B73" s="179">
        <f>I62+H40+H11</f>
        <v>0.04294</v>
      </c>
      <c r="C73" s="168"/>
    </row>
    <row r="74">
      <c r="A74" s="21" t="s">
        <v>104</v>
      </c>
      <c r="B74" s="180">
        <f>B80*B73</f>
        <v>0.4294</v>
      </c>
    </row>
    <row r="75">
      <c r="A75" s="132"/>
      <c r="B75" s="133"/>
      <c r="C75" s="81"/>
      <c r="F75" s="111"/>
    </row>
    <row r="76">
      <c r="A76" s="181" t="s">
        <v>106</v>
      </c>
      <c r="B76" s="182">
        <f t="shared" ref="B76:B77" si="5">B70+B73</f>
        <v>7.64126725</v>
      </c>
      <c r="C76" s="81"/>
    </row>
    <row r="77">
      <c r="A77" s="183" t="s">
        <v>104</v>
      </c>
      <c r="B77" s="184">
        <f t="shared" si="5"/>
        <v>76.4126725</v>
      </c>
      <c r="C77" s="81"/>
    </row>
    <row r="78">
      <c r="A78" s="132"/>
      <c r="C78" s="133"/>
    </row>
    <row r="79">
      <c r="C79" s="81"/>
    </row>
    <row r="80" ht="14.25" customHeight="1">
      <c r="A80" s="21" t="s">
        <v>129</v>
      </c>
      <c r="B80" s="21">
        <v>10.0</v>
      </c>
    </row>
    <row r="88">
      <c r="Q88" s="193"/>
    </row>
    <row r="89">
      <c r="A89" s="21"/>
      <c r="C89" s="192"/>
    </row>
    <row r="90">
      <c r="C90" s="192"/>
    </row>
    <row r="91">
      <c r="A91" s="37"/>
    </row>
    <row r="92">
      <c r="A92" s="194"/>
      <c r="B92" s="195"/>
      <c r="C92" s="196"/>
    </row>
    <row r="94">
      <c r="A94" s="132"/>
      <c r="B94" s="133"/>
      <c r="C94" s="197"/>
    </row>
    <row r="95">
      <c r="A95" s="154"/>
    </row>
    <row r="96">
      <c r="A96" s="154"/>
    </row>
    <row r="97">
      <c r="A97" s="154"/>
    </row>
    <row r="112">
      <c r="H112" s="21"/>
    </row>
    <row r="122">
      <c r="J122" s="198"/>
    </row>
    <row r="123">
      <c r="J123" s="198"/>
    </row>
    <row r="124">
      <c r="J124" s="188"/>
    </row>
  </sheetData>
  <mergeCells count="9">
    <mergeCell ref="A53:C53"/>
    <mergeCell ref="A64:F64"/>
    <mergeCell ref="A2:C2"/>
    <mergeCell ref="F2:H2"/>
    <mergeCell ref="A28:F28"/>
    <mergeCell ref="A31:C31"/>
    <mergeCell ref="F31:H31"/>
    <mergeCell ref="A49:F49"/>
    <mergeCell ref="G53:I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3" max="3" width="18.63"/>
    <col customWidth="1" min="4" max="4" width="14.25"/>
    <col customWidth="1" min="7" max="7" width="23.88"/>
    <col customWidth="1" min="8" max="9" width="13.63"/>
    <col customWidth="1" min="10" max="10" width="16.75"/>
    <col customWidth="1" min="14" max="14" width="20.75"/>
    <col customWidth="1" min="16" max="16" width="16.0"/>
    <col customWidth="1" min="17" max="17" width="19.0"/>
  </cols>
  <sheetData>
    <row r="1">
      <c r="A1" s="112" t="s">
        <v>52</v>
      </c>
      <c r="C1" s="21"/>
      <c r="E1" s="113"/>
    </row>
    <row r="2">
      <c r="A2" s="114" t="s">
        <v>53</v>
      </c>
      <c r="E2" s="115"/>
      <c r="F2" s="114" t="s">
        <v>3</v>
      </c>
    </row>
    <row r="3">
      <c r="A3" s="116" t="s">
        <v>54</v>
      </c>
      <c r="B3" s="117"/>
      <c r="C3" s="116">
        <v>0.0</v>
      </c>
      <c r="F3" s="118" t="s">
        <v>55</v>
      </c>
      <c r="H3" s="21">
        <v>10000.0</v>
      </c>
    </row>
    <row r="4">
      <c r="A4" s="119" t="s">
        <v>56</v>
      </c>
      <c r="B4" s="120"/>
      <c r="C4" s="119">
        <v>30.0</v>
      </c>
      <c r="F4" s="118" t="s">
        <v>57</v>
      </c>
      <c r="H4" s="21">
        <v>500.0</v>
      </c>
    </row>
    <row r="5">
      <c r="A5" s="121" t="s">
        <v>58</v>
      </c>
      <c r="B5" s="122"/>
      <c r="C5" s="121">
        <v>2.0</v>
      </c>
      <c r="F5" s="123" t="s">
        <v>59</v>
      </c>
      <c r="H5" s="17">
        <f>C3*C4*C5+C8*C9*C10+C13*C14*C15+C18*C19*C20</f>
        <v>0</v>
      </c>
    </row>
    <row r="6">
      <c r="A6" s="124" t="s">
        <v>60</v>
      </c>
      <c r="B6" s="125"/>
      <c r="C6" s="124">
        <f>(C5*C24+1)*C3*C4</f>
        <v>0</v>
      </c>
      <c r="F6" s="126" t="s">
        <v>61</v>
      </c>
      <c r="H6" s="17">
        <f>H5*H3</f>
        <v>0</v>
      </c>
    </row>
    <row r="7">
      <c r="A7" s="127" t="s">
        <v>62</v>
      </c>
      <c r="B7" s="128"/>
      <c r="C7" s="127">
        <f>C3*C4*C5</f>
        <v>0</v>
      </c>
      <c r="F7" s="129" t="s">
        <v>63</v>
      </c>
      <c r="H7" s="17">
        <f>H5*H4</f>
        <v>0</v>
      </c>
    </row>
    <row r="8">
      <c r="A8" s="116" t="s">
        <v>64</v>
      </c>
      <c r="B8" s="130"/>
      <c r="C8" s="116">
        <v>0.0</v>
      </c>
      <c r="E8" s="21"/>
      <c r="F8" s="126" t="s">
        <v>65</v>
      </c>
      <c r="H8" s="131">
        <f>Management!I5*H6</f>
        <v>0</v>
      </c>
    </row>
    <row r="9">
      <c r="A9" s="119" t="s">
        <v>66</v>
      </c>
      <c r="B9" s="120"/>
      <c r="C9" s="119">
        <v>4.0</v>
      </c>
      <c r="E9" s="21"/>
      <c r="F9" s="129" t="s">
        <v>67</v>
      </c>
      <c r="H9" s="131">
        <f>Management!I6*H7</f>
        <v>0</v>
      </c>
    </row>
    <row r="10">
      <c r="A10" s="121" t="s">
        <v>58</v>
      </c>
      <c r="B10" s="122"/>
      <c r="C10" s="121">
        <v>2.0</v>
      </c>
    </row>
    <row r="11">
      <c r="A11" s="124" t="s">
        <v>60</v>
      </c>
      <c r="B11" s="125"/>
      <c r="C11" s="124">
        <f>(C10*C24+1)*C8*C9</f>
        <v>0</v>
      </c>
      <c r="F11" s="132" t="s">
        <v>68</v>
      </c>
      <c r="G11" s="133"/>
      <c r="H11" s="134">
        <f>H8+H9</f>
        <v>0</v>
      </c>
    </row>
    <row r="12">
      <c r="A12" s="127" t="s">
        <v>62</v>
      </c>
      <c r="B12" s="128"/>
      <c r="C12" s="127">
        <f>C8*C9*C10</f>
        <v>0</v>
      </c>
    </row>
    <row r="13">
      <c r="A13" s="116" t="s">
        <v>69</v>
      </c>
      <c r="B13" s="130"/>
      <c r="C13" s="116">
        <v>0.0</v>
      </c>
      <c r="E13" s="21"/>
    </row>
    <row r="14">
      <c r="A14" s="119" t="s">
        <v>70</v>
      </c>
      <c r="B14" s="120"/>
      <c r="C14" s="119">
        <v>1.0</v>
      </c>
      <c r="E14" s="21"/>
    </row>
    <row r="15">
      <c r="A15" s="135" t="s">
        <v>58</v>
      </c>
      <c r="C15" s="135">
        <v>6.0</v>
      </c>
    </row>
    <row r="16">
      <c r="A16" s="124" t="s">
        <v>60</v>
      </c>
      <c r="B16" s="125"/>
      <c r="C16" s="124">
        <f>(C15*C24+1)*C13*C14</f>
        <v>0</v>
      </c>
    </row>
    <row r="17">
      <c r="A17" s="127" t="s">
        <v>62</v>
      </c>
      <c r="B17" s="128"/>
      <c r="C17" s="127">
        <f>C13*C14*C15</f>
        <v>0</v>
      </c>
    </row>
    <row r="18">
      <c r="A18" s="116" t="s">
        <v>71</v>
      </c>
      <c r="B18" s="130"/>
      <c r="C18" s="116">
        <v>0.0</v>
      </c>
      <c r="E18" s="21"/>
    </row>
    <row r="19">
      <c r="A19" s="119" t="s">
        <v>72</v>
      </c>
      <c r="B19" s="120"/>
      <c r="C19" s="119">
        <f>1/12</f>
        <v>0.08333333333</v>
      </c>
      <c r="E19" s="21"/>
    </row>
    <row r="20">
      <c r="A20" s="121" t="s">
        <v>58</v>
      </c>
      <c r="B20" s="122"/>
      <c r="C20" s="121">
        <v>0.0</v>
      </c>
    </row>
    <row r="21">
      <c r="A21" s="124" t="s">
        <v>60</v>
      </c>
      <c r="B21" s="125"/>
      <c r="C21" s="124">
        <f>(C19*C24+1)*C18*C20</f>
        <v>0</v>
      </c>
    </row>
    <row r="22">
      <c r="A22" s="127" t="s">
        <v>62</v>
      </c>
      <c r="B22" s="128"/>
      <c r="C22" s="127">
        <f>C18*C20*C19</f>
        <v>0</v>
      </c>
    </row>
    <row r="23">
      <c r="A23" s="136"/>
      <c r="C23" s="135"/>
      <c r="D23" s="137"/>
      <c r="E23" s="137"/>
    </row>
    <row r="24">
      <c r="A24" s="136" t="s">
        <v>73</v>
      </c>
      <c r="C24" s="135">
        <v>1.5</v>
      </c>
      <c r="D24" s="138" t="s">
        <v>74</v>
      </c>
      <c r="E24" s="139" t="s">
        <v>75</v>
      </c>
    </row>
    <row r="25">
      <c r="A25" s="140" t="s">
        <v>76</v>
      </c>
      <c r="B25" s="141"/>
      <c r="C25" s="142">
        <f>SUM(C6,C11,C16,C21)</f>
        <v>0</v>
      </c>
      <c r="D25" s="143">
        <f>Management!C6</f>
        <v>0.0853425</v>
      </c>
      <c r="E25" s="144">
        <f t="shared" ref="E25:E26" si="1">C25*D25</f>
        <v>0</v>
      </c>
    </row>
    <row r="26">
      <c r="A26" s="145" t="s">
        <v>77</v>
      </c>
      <c r="B26" s="146"/>
      <c r="C26" s="147">
        <f>SUM(C22,C17,C12,C7)</f>
        <v>0</v>
      </c>
      <c r="D26" s="148">
        <f>Management!C7</f>
        <v>0.011379</v>
      </c>
      <c r="E26" s="149">
        <f t="shared" si="1"/>
        <v>0</v>
      </c>
    </row>
    <row r="27">
      <c r="A27" s="145"/>
      <c r="B27" s="146"/>
      <c r="C27" s="147"/>
      <c r="D27" s="137"/>
      <c r="E27" s="150"/>
    </row>
    <row r="28">
      <c r="A28" s="151" t="s">
        <v>78</v>
      </c>
      <c r="G28" s="152">
        <f>SUM(E25:E26,H11)</f>
        <v>0</v>
      </c>
    </row>
    <row r="29">
      <c r="A29" s="153"/>
      <c r="C29" s="21"/>
    </row>
    <row r="30">
      <c r="A30" s="112" t="s">
        <v>79</v>
      </c>
      <c r="C30" s="21"/>
    </row>
    <row r="31">
      <c r="A31" s="114" t="s">
        <v>53</v>
      </c>
      <c r="D31" s="154"/>
      <c r="F31" s="114" t="s">
        <v>3</v>
      </c>
    </row>
    <row r="32">
      <c r="A32" s="116" t="s">
        <v>80</v>
      </c>
      <c r="B32" s="130"/>
      <c r="C32" s="116">
        <v>0.0</v>
      </c>
      <c r="F32" s="118" t="s">
        <v>55</v>
      </c>
      <c r="H32" s="21">
        <v>10000.0</v>
      </c>
    </row>
    <row r="33">
      <c r="A33" s="119" t="s">
        <v>56</v>
      </c>
      <c r="C33" s="119">
        <v>30.0</v>
      </c>
      <c r="F33" s="118" t="s">
        <v>57</v>
      </c>
      <c r="H33" s="21">
        <v>500.0</v>
      </c>
    </row>
    <row r="34">
      <c r="A34" s="116" t="s">
        <v>81</v>
      </c>
      <c r="B34" s="130"/>
      <c r="C34" s="116">
        <v>0.0</v>
      </c>
      <c r="F34" s="123" t="s">
        <v>82</v>
      </c>
      <c r="H34" s="17">
        <f>(C32*C33+C34*C35+C36*C37+C38*C39)*C45</f>
        <v>0.4</v>
      </c>
    </row>
    <row r="35">
      <c r="A35" s="119" t="s">
        <v>66</v>
      </c>
      <c r="C35" s="119">
        <v>4.0</v>
      </c>
      <c r="F35" s="126" t="s">
        <v>61</v>
      </c>
      <c r="H35" s="17">
        <f>H34*H32</f>
        <v>4000</v>
      </c>
    </row>
    <row r="36">
      <c r="A36" s="116" t="s">
        <v>83</v>
      </c>
      <c r="B36" s="130"/>
      <c r="C36" s="116">
        <v>2.0</v>
      </c>
      <c r="E36" s="21"/>
      <c r="F36" s="129" t="s">
        <v>63</v>
      </c>
      <c r="H36" s="17">
        <f>H34*H33</f>
        <v>200</v>
      </c>
    </row>
    <row r="37">
      <c r="A37" s="119" t="s">
        <v>70</v>
      </c>
      <c r="C37" s="119">
        <v>1.0</v>
      </c>
      <c r="E37" s="21"/>
      <c r="F37" s="126" t="s">
        <v>65</v>
      </c>
      <c r="H37" s="131">
        <f>Management!I5*H35</f>
        <v>0.001</v>
      </c>
    </row>
    <row r="38">
      <c r="A38" s="116" t="s">
        <v>84</v>
      </c>
      <c r="B38" s="130"/>
      <c r="C38" s="116">
        <v>0.0</v>
      </c>
      <c r="E38" s="21"/>
      <c r="F38" s="129" t="s">
        <v>67</v>
      </c>
      <c r="H38" s="131">
        <f>Management!I6*H36</f>
        <v>0.0003</v>
      </c>
    </row>
    <row r="39">
      <c r="A39" s="119" t="s">
        <v>72</v>
      </c>
      <c r="C39" s="119">
        <f>1/12</f>
        <v>0.08333333333</v>
      </c>
      <c r="E39" s="21"/>
    </row>
    <row r="40">
      <c r="A40" s="155" t="s">
        <v>85</v>
      </c>
      <c r="B40" s="155"/>
      <c r="C40" s="155">
        <f>C32*C33+C34*C35+C36*C37+C38*C39</f>
        <v>2</v>
      </c>
      <c r="E40" s="21"/>
      <c r="F40" s="132" t="s">
        <v>86</v>
      </c>
      <c r="G40" s="133"/>
      <c r="H40" s="134">
        <f>H37+H38</f>
        <v>0.0013</v>
      </c>
    </row>
    <row r="41">
      <c r="A41" s="124" t="s">
        <v>87</v>
      </c>
      <c r="C41" s="124">
        <v>2.0</v>
      </c>
      <c r="E41" s="21"/>
    </row>
    <row r="42">
      <c r="A42" s="124" t="s">
        <v>88</v>
      </c>
      <c r="C42" s="124">
        <v>3.0</v>
      </c>
      <c r="E42" s="21"/>
    </row>
    <row r="43">
      <c r="A43" s="156" t="s">
        <v>89</v>
      </c>
      <c r="B43" s="128"/>
      <c r="C43" s="156">
        <v>1.0</v>
      </c>
      <c r="E43" s="21"/>
    </row>
    <row r="44">
      <c r="A44" s="135" t="s">
        <v>90</v>
      </c>
      <c r="C44" s="157">
        <v>0.8</v>
      </c>
      <c r="E44" s="21"/>
    </row>
    <row r="45">
      <c r="A45" s="158" t="s">
        <v>91</v>
      </c>
      <c r="B45" s="159"/>
      <c r="C45" s="160">
        <f>100%-C44</f>
        <v>0.2</v>
      </c>
      <c r="D45" s="161" t="s">
        <v>92</v>
      </c>
      <c r="E45" s="162" t="s">
        <v>93</v>
      </c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</row>
    <row r="46">
      <c r="A46" s="124" t="s">
        <v>94</v>
      </c>
      <c r="C46" s="124">
        <f>(C41*C44+C42*(100%-C44))*C40</f>
        <v>4.4</v>
      </c>
      <c r="D46" s="163">
        <f>Management!C6</f>
        <v>0.0853425</v>
      </c>
      <c r="E46" s="144">
        <f t="shared" ref="E46:E47" si="2">D46*C46</f>
        <v>0.375507</v>
      </c>
    </row>
    <row r="47">
      <c r="A47" s="156" t="s">
        <v>95</v>
      </c>
      <c r="C47" s="156">
        <f>C43*C45*C40</f>
        <v>0.4</v>
      </c>
      <c r="D47" s="164">
        <f>Management!C7</f>
        <v>0.011379</v>
      </c>
      <c r="E47" s="149">
        <f t="shared" si="2"/>
        <v>0.0045516</v>
      </c>
    </row>
    <row r="48">
      <c r="A48" s="165"/>
      <c r="B48" s="73"/>
      <c r="C48" s="166"/>
    </row>
    <row r="49">
      <c r="A49" s="151" t="s">
        <v>78</v>
      </c>
      <c r="G49" s="152">
        <f>SUM(E46:E47,H40)</f>
        <v>0.3813586</v>
      </c>
    </row>
    <row r="50">
      <c r="A50" s="153"/>
    </row>
    <row r="51">
      <c r="A51" s="153"/>
    </row>
    <row r="52">
      <c r="A52" s="153" t="s">
        <v>96</v>
      </c>
    </row>
    <row r="53">
      <c r="A53" s="114" t="s">
        <v>53</v>
      </c>
      <c r="E53" s="21"/>
      <c r="G53" s="114" t="s">
        <v>3</v>
      </c>
      <c r="J53" s="167"/>
      <c r="K53" s="167"/>
      <c r="L53" s="167"/>
    </row>
    <row r="54">
      <c r="A54" s="21" t="s">
        <v>97</v>
      </c>
      <c r="C54" s="168">
        <v>0.7</v>
      </c>
      <c r="E54" s="21"/>
      <c r="G54" s="118" t="s">
        <v>55</v>
      </c>
      <c r="I54" s="21">
        <v>10000.0</v>
      </c>
      <c r="J54" s="167"/>
      <c r="K54" s="167"/>
      <c r="L54" s="167"/>
    </row>
    <row r="55">
      <c r="A55" s="21" t="s">
        <v>98</v>
      </c>
      <c r="C55" s="21">
        <v>7.0</v>
      </c>
      <c r="G55" s="118" t="s">
        <v>57</v>
      </c>
      <c r="I55" s="21">
        <v>500.0</v>
      </c>
    </row>
    <row r="56">
      <c r="A56" s="102" t="s">
        <v>73</v>
      </c>
      <c r="B56" s="57"/>
      <c r="C56" s="102">
        <v>1.5</v>
      </c>
      <c r="G56" s="123" t="s">
        <v>82</v>
      </c>
      <c r="I56" s="17">
        <f>C54*C55</f>
        <v>4.9</v>
      </c>
    </row>
    <row r="57">
      <c r="C57" s="21"/>
      <c r="D57" s="161" t="s">
        <v>92</v>
      </c>
      <c r="E57" s="162" t="s">
        <v>93</v>
      </c>
      <c r="G57" s="126" t="s">
        <v>61</v>
      </c>
      <c r="I57" s="17">
        <f>I56*I54</f>
        <v>49000</v>
      </c>
    </row>
    <row r="58">
      <c r="A58" s="129" t="s">
        <v>94</v>
      </c>
      <c r="C58" s="21">
        <f>C55*C56*C54</f>
        <v>7.35</v>
      </c>
      <c r="D58" s="163">
        <f>Management!C6</f>
        <v>0.0853425</v>
      </c>
      <c r="E58" s="169">
        <f t="shared" ref="E58:E59" si="3">D58*C58</f>
        <v>0.627267375</v>
      </c>
      <c r="G58" s="129" t="s">
        <v>63</v>
      </c>
      <c r="I58" s="17">
        <f>I56*I55</f>
        <v>2450</v>
      </c>
    </row>
    <row r="59">
      <c r="A59" s="126" t="s">
        <v>95</v>
      </c>
      <c r="C59" s="21">
        <f>C55*C54</f>
        <v>4.9</v>
      </c>
      <c r="D59" s="164">
        <f>Management!C7</f>
        <v>0.011379</v>
      </c>
      <c r="E59" s="170">
        <f t="shared" si="3"/>
        <v>0.0557571</v>
      </c>
      <c r="G59" s="126" t="s">
        <v>65</v>
      </c>
      <c r="I59" s="131">
        <f>Management!I5*I57</f>
        <v>0.01225</v>
      </c>
    </row>
    <row r="60">
      <c r="A60" s="132"/>
      <c r="C60" s="133"/>
      <c r="G60" s="129" t="s">
        <v>67</v>
      </c>
      <c r="I60" s="131">
        <f>Management!I6*I58</f>
        <v>0.003675</v>
      </c>
    </row>
    <row r="62">
      <c r="A62" s="171"/>
      <c r="B62" s="172"/>
      <c r="G62" s="132" t="s">
        <v>99</v>
      </c>
      <c r="H62" s="133"/>
      <c r="I62" s="134">
        <f>I59+I60</f>
        <v>0.015925</v>
      </c>
    </row>
    <row r="63">
      <c r="A63" s="173"/>
      <c r="B63" s="173"/>
      <c r="C63" s="173"/>
      <c r="D63" s="173"/>
      <c r="E63" s="173"/>
      <c r="F63" s="173"/>
      <c r="G63" s="174"/>
      <c r="H63" s="133"/>
      <c r="I63" s="133"/>
    </row>
    <row r="64">
      <c r="A64" s="151" t="s">
        <v>78</v>
      </c>
      <c r="G64" s="152">
        <f>SUM(E58:E59,I62)</f>
        <v>0.698949475</v>
      </c>
      <c r="H64" s="133"/>
      <c r="I64" s="133"/>
    </row>
    <row r="65">
      <c r="A65" s="171"/>
      <c r="B65" s="172"/>
      <c r="G65" s="132"/>
      <c r="H65" s="133"/>
      <c r="I65" s="133"/>
    </row>
    <row r="66">
      <c r="A66" s="171" t="s">
        <v>100</v>
      </c>
      <c r="B66" s="172"/>
      <c r="G66" s="132"/>
      <c r="H66" s="133"/>
      <c r="I66" s="133"/>
    </row>
    <row r="67">
      <c r="A67" s="175" t="s">
        <v>101</v>
      </c>
      <c r="B67" s="125">
        <f t="shared" ref="B67:B68" si="4">SUM(E25,E46,E58)</f>
        <v>1.002774375</v>
      </c>
    </row>
    <row r="68">
      <c r="A68" s="126" t="s">
        <v>102</v>
      </c>
      <c r="B68" s="176">
        <f t="shared" si="4"/>
        <v>0.0603087</v>
      </c>
      <c r="C68" s="111"/>
    </row>
    <row r="69">
      <c r="C69" s="168"/>
    </row>
    <row r="70">
      <c r="A70" s="132" t="s">
        <v>103</v>
      </c>
      <c r="B70" s="133">
        <f>SUm(B67:B68)</f>
        <v>1.063083075</v>
      </c>
    </row>
    <row r="71">
      <c r="A71" s="177" t="s">
        <v>104</v>
      </c>
      <c r="B71" s="178">
        <f>Management!C11*B70</f>
        <v>175.4087074</v>
      </c>
      <c r="C71" s="168"/>
    </row>
    <row r="72">
      <c r="A72" s="21"/>
      <c r="C72" s="168"/>
    </row>
    <row r="73">
      <c r="A73" s="132" t="s">
        <v>105</v>
      </c>
      <c r="B73" s="179">
        <f>I62+H40+H11</f>
        <v>0.017225</v>
      </c>
      <c r="C73" s="168"/>
    </row>
    <row r="74">
      <c r="A74" s="21" t="s">
        <v>104</v>
      </c>
      <c r="B74" s="180">
        <f>Management!C11*B73</f>
        <v>2.842125</v>
      </c>
    </row>
    <row r="75">
      <c r="A75" s="132"/>
      <c r="B75" s="133"/>
      <c r="C75" s="81"/>
      <c r="F75" s="111"/>
    </row>
    <row r="76">
      <c r="A76" s="181" t="s">
        <v>106</v>
      </c>
      <c r="B76" s="182">
        <f t="shared" ref="B76:B77" si="5">B70+B73</f>
        <v>1.080308075</v>
      </c>
      <c r="C76" s="81"/>
    </row>
    <row r="77">
      <c r="A77" s="183" t="s">
        <v>104</v>
      </c>
      <c r="B77" s="184">
        <f t="shared" si="5"/>
        <v>178.2508324</v>
      </c>
      <c r="C77" s="81"/>
    </row>
    <row r="78">
      <c r="A78" s="132"/>
      <c r="C78" s="133"/>
    </row>
    <row r="79">
      <c r="C79" s="81"/>
    </row>
    <row r="80">
      <c r="C80" s="185"/>
    </row>
    <row r="81">
      <c r="C81" s="185"/>
    </row>
    <row r="82">
      <c r="A82" s="135"/>
      <c r="C82" s="186"/>
    </row>
    <row r="83">
      <c r="A83" s="135"/>
      <c r="C83" s="186"/>
    </row>
    <row r="85">
      <c r="A85" s="187"/>
      <c r="B85" s="188"/>
      <c r="C85" s="189"/>
    </row>
    <row r="86">
      <c r="A86" s="187"/>
      <c r="C86" s="190"/>
    </row>
    <row r="87">
      <c r="C87" s="191"/>
    </row>
    <row r="88">
      <c r="C88" s="192"/>
      <c r="Q88" s="193"/>
    </row>
    <row r="89">
      <c r="A89" s="21"/>
      <c r="C89" s="192"/>
    </row>
    <row r="90">
      <c r="C90" s="192"/>
    </row>
    <row r="91">
      <c r="A91" s="37"/>
    </row>
    <row r="92">
      <c r="A92" s="194"/>
      <c r="B92" s="195"/>
      <c r="C92" s="196"/>
    </row>
    <row r="94">
      <c r="A94" s="132"/>
      <c r="B94" s="133"/>
      <c r="C94" s="197"/>
    </row>
    <row r="95">
      <c r="A95" s="154"/>
    </row>
    <row r="96">
      <c r="A96" s="154"/>
    </row>
    <row r="97">
      <c r="A97" s="154"/>
    </row>
    <row r="112">
      <c r="H112" s="21"/>
    </row>
    <row r="122">
      <c r="J122" s="198"/>
    </row>
    <row r="123">
      <c r="J123" s="198"/>
    </row>
    <row r="124">
      <c r="J124" s="188"/>
    </row>
  </sheetData>
  <mergeCells count="9">
    <mergeCell ref="A53:C53"/>
    <mergeCell ref="A64:F64"/>
    <mergeCell ref="A2:C2"/>
    <mergeCell ref="F2:H2"/>
    <mergeCell ref="A28:F28"/>
    <mergeCell ref="A31:C31"/>
    <mergeCell ref="F31:H31"/>
    <mergeCell ref="A49:F49"/>
    <mergeCell ref="G53:I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3" max="3" width="18.63"/>
    <col customWidth="1" min="4" max="4" width="14.25"/>
    <col customWidth="1" min="7" max="7" width="23.88"/>
    <col customWidth="1" min="8" max="9" width="13.63"/>
    <col customWidth="1" min="10" max="10" width="16.75"/>
    <col customWidth="1" min="14" max="14" width="20.75"/>
    <col customWidth="1" min="16" max="16" width="16.0"/>
    <col customWidth="1" min="17" max="17" width="19.0"/>
  </cols>
  <sheetData>
    <row r="1">
      <c r="A1" s="112" t="s">
        <v>52</v>
      </c>
      <c r="C1" s="21"/>
      <c r="E1" s="113"/>
    </row>
    <row r="2">
      <c r="A2" s="114" t="s">
        <v>53</v>
      </c>
      <c r="E2" s="115"/>
      <c r="F2" s="114" t="s">
        <v>3</v>
      </c>
    </row>
    <row r="3">
      <c r="A3" s="116" t="s">
        <v>54</v>
      </c>
      <c r="B3" s="117"/>
      <c r="C3" s="116">
        <v>0.0</v>
      </c>
      <c r="F3" s="118" t="s">
        <v>55</v>
      </c>
      <c r="H3" s="21">
        <v>7000.0</v>
      </c>
    </row>
    <row r="4">
      <c r="A4" s="119" t="s">
        <v>56</v>
      </c>
      <c r="B4" s="120"/>
      <c r="C4" s="119">
        <v>30.0</v>
      </c>
      <c r="F4" s="118" t="s">
        <v>57</v>
      </c>
      <c r="H4" s="21">
        <v>340.0</v>
      </c>
    </row>
    <row r="5">
      <c r="A5" s="121" t="s">
        <v>58</v>
      </c>
      <c r="B5" s="122"/>
      <c r="C5" s="121">
        <v>2.0</v>
      </c>
      <c r="F5" s="123" t="s">
        <v>59</v>
      </c>
      <c r="H5" s="17">
        <f>C3*C4*C5+C8*C9*C10+C13*C14*C15+C18*C19*C20</f>
        <v>0</v>
      </c>
    </row>
    <row r="6">
      <c r="A6" s="124" t="s">
        <v>60</v>
      </c>
      <c r="B6" s="125"/>
      <c r="C6" s="124">
        <f>(C5*C24+1)*C3*C4</f>
        <v>0</v>
      </c>
      <c r="F6" s="126" t="s">
        <v>61</v>
      </c>
      <c r="H6" s="17">
        <f>H5*H3</f>
        <v>0</v>
      </c>
    </row>
    <row r="7">
      <c r="A7" s="127" t="s">
        <v>62</v>
      </c>
      <c r="B7" s="128"/>
      <c r="C7" s="127">
        <f>C3*C4*C5</f>
        <v>0</v>
      </c>
      <c r="F7" s="129" t="s">
        <v>63</v>
      </c>
      <c r="H7" s="17">
        <f>H5*H4</f>
        <v>0</v>
      </c>
    </row>
    <row r="8">
      <c r="A8" s="116" t="s">
        <v>64</v>
      </c>
      <c r="B8" s="130"/>
      <c r="C8" s="116">
        <v>0.0</v>
      </c>
      <c r="E8" s="21"/>
      <c r="F8" s="126" t="s">
        <v>65</v>
      </c>
      <c r="H8" s="131">
        <f>Management!I5*H6</f>
        <v>0</v>
      </c>
    </row>
    <row r="9">
      <c r="A9" s="119" t="s">
        <v>66</v>
      </c>
      <c r="B9" s="120"/>
      <c r="C9" s="119">
        <v>4.0</v>
      </c>
      <c r="E9" s="21"/>
      <c r="F9" s="129" t="s">
        <v>67</v>
      </c>
      <c r="H9" s="131">
        <f>Management!I6*H7</f>
        <v>0</v>
      </c>
    </row>
    <row r="10">
      <c r="A10" s="121" t="s">
        <v>58</v>
      </c>
      <c r="B10" s="122"/>
      <c r="C10" s="121">
        <v>2.0</v>
      </c>
    </row>
    <row r="11">
      <c r="A11" s="124" t="s">
        <v>60</v>
      </c>
      <c r="B11" s="125"/>
      <c r="C11" s="124">
        <f>(C10*C24+1)*C8*C9</f>
        <v>0</v>
      </c>
      <c r="F11" s="132" t="s">
        <v>68</v>
      </c>
      <c r="G11" s="133"/>
      <c r="H11" s="134">
        <f>H8+H9</f>
        <v>0</v>
      </c>
    </row>
    <row r="12">
      <c r="A12" s="127" t="s">
        <v>62</v>
      </c>
      <c r="B12" s="128"/>
      <c r="C12" s="127">
        <f>C8*C9*C10</f>
        <v>0</v>
      </c>
    </row>
    <row r="13">
      <c r="A13" s="116" t="s">
        <v>69</v>
      </c>
      <c r="B13" s="130"/>
      <c r="C13" s="116">
        <v>0.0</v>
      </c>
      <c r="E13" s="21"/>
    </row>
    <row r="14">
      <c r="A14" s="119" t="s">
        <v>70</v>
      </c>
      <c r="B14" s="120"/>
      <c r="C14" s="119">
        <v>1.0</v>
      </c>
      <c r="E14" s="21"/>
    </row>
    <row r="15">
      <c r="A15" s="135" t="s">
        <v>58</v>
      </c>
      <c r="C15" s="135">
        <v>6.0</v>
      </c>
    </row>
    <row r="16">
      <c r="A16" s="124" t="s">
        <v>60</v>
      </c>
      <c r="B16" s="125"/>
      <c r="C16" s="124">
        <f>(C15*C24+1)*C13*C14</f>
        <v>0</v>
      </c>
    </row>
    <row r="17">
      <c r="A17" s="127" t="s">
        <v>62</v>
      </c>
      <c r="B17" s="128"/>
      <c r="C17" s="127">
        <f>C13*C14*C15</f>
        <v>0</v>
      </c>
    </row>
    <row r="18">
      <c r="A18" s="116" t="s">
        <v>71</v>
      </c>
      <c r="B18" s="130"/>
      <c r="C18" s="116">
        <v>0.0</v>
      </c>
      <c r="E18" s="21"/>
    </row>
    <row r="19">
      <c r="A19" s="119" t="s">
        <v>72</v>
      </c>
      <c r="B19" s="120"/>
      <c r="C19" s="119">
        <f>1/12</f>
        <v>0.08333333333</v>
      </c>
      <c r="E19" s="21"/>
    </row>
    <row r="20">
      <c r="A20" s="121" t="s">
        <v>58</v>
      </c>
      <c r="B20" s="122"/>
      <c r="C20" s="121">
        <v>0.0</v>
      </c>
    </row>
    <row r="21">
      <c r="A21" s="124" t="s">
        <v>60</v>
      </c>
      <c r="B21" s="125"/>
      <c r="C21" s="124">
        <f>(C19*C24+1)*C18*C20</f>
        <v>0</v>
      </c>
    </row>
    <row r="22">
      <c r="A22" s="127" t="s">
        <v>62</v>
      </c>
      <c r="B22" s="128"/>
      <c r="C22" s="127">
        <f>C18*C20*C19</f>
        <v>0</v>
      </c>
    </row>
    <row r="23">
      <c r="A23" s="136"/>
      <c r="C23" s="135"/>
      <c r="D23" s="137"/>
      <c r="E23" s="137"/>
    </row>
    <row r="24">
      <c r="A24" s="136" t="s">
        <v>73</v>
      </c>
      <c r="C24" s="135">
        <v>1.5</v>
      </c>
      <c r="D24" s="138" t="s">
        <v>74</v>
      </c>
      <c r="E24" s="139" t="s">
        <v>75</v>
      </c>
    </row>
    <row r="25">
      <c r="A25" s="140" t="s">
        <v>76</v>
      </c>
      <c r="B25" s="141"/>
      <c r="C25" s="142">
        <f>SUM(C6,C11,C16,C21)</f>
        <v>0</v>
      </c>
      <c r="D25" s="143">
        <f>Management!C6</f>
        <v>0.0853425</v>
      </c>
      <c r="E25" s="144">
        <f t="shared" ref="E25:E26" si="1">C25*D25</f>
        <v>0</v>
      </c>
    </row>
    <row r="26">
      <c r="A26" s="145" t="s">
        <v>77</v>
      </c>
      <c r="B26" s="146"/>
      <c r="C26" s="147">
        <f>SUM(C22,C17,C12,C7)</f>
        <v>0</v>
      </c>
      <c r="D26" s="148">
        <f>Management!C7</f>
        <v>0.011379</v>
      </c>
      <c r="E26" s="149">
        <f t="shared" si="1"/>
        <v>0</v>
      </c>
    </row>
    <row r="27">
      <c r="A27" s="145"/>
      <c r="B27" s="146"/>
      <c r="C27" s="147"/>
      <c r="D27" s="137"/>
      <c r="E27" s="150"/>
    </row>
    <row r="28">
      <c r="A28" s="151" t="s">
        <v>78</v>
      </c>
      <c r="G28" s="152">
        <f>SUM(E25:E26,H11)</f>
        <v>0</v>
      </c>
    </row>
    <row r="29">
      <c r="A29" s="153"/>
      <c r="C29" s="21"/>
    </row>
    <row r="30">
      <c r="A30" s="112" t="s">
        <v>79</v>
      </c>
      <c r="C30" s="21"/>
    </row>
    <row r="31">
      <c r="A31" s="114" t="s">
        <v>53</v>
      </c>
      <c r="D31" s="154"/>
      <c r="F31" s="114" t="s">
        <v>3</v>
      </c>
    </row>
    <row r="32">
      <c r="A32" s="116" t="s">
        <v>80</v>
      </c>
      <c r="B32" s="130"/>
      <c r="C32" s="116">
        <v>0.0</v>
      </c>
      <c r="F32" s="118" t="s">
        <v>55</v>
      </c>
      <c r="H32" s="21">
        <v>7000.0</v>
      </c>
    </row>
    <row r="33">
      <c r="A33" s="119" t="s">
        <v>56</v>
      </c>
      <c r="C33" s="119">
        <v>30.0</v>
      </c>
      <c r="F33" s="118" t="s">
        <v>57</v>
      </c>
      <c r="H33" s="21">
        <v>340.0</v>
      </c>
    </row>
    <row r="34">
      <c r="A34" s="116" t="s">
        <v>81</v>
      </c>
      <c r="B34" s="130"/>
      <c r="C34" s="116">
        <v>0.0</v>
      </c>
      <c r="F34" s="123" t="s">
        <v>82</v>
      </c>
      <c r="H34" s="17">
        <f>(C32*C33+C34*C35+C36*C37+C38*C39)*C45</f>
        <v>0.4</v>
      </c>
    </row>
    <row r="35">
      <c r="A35" s="119" t="s">
        <v>66</v>
      </c>
      <c r="C35" s="119">
        <v>4.0</v>
      </c>
      <c r="F35" s="126" t="s">
        <v>61</v>
      </c>
      <c r="H35" s="17">
        <f>H34*H32</f>
        <v>2800</v>
      </c>
    </row>
    <row r="36">
      <c r="A36" s="116" t="s">
        <v>83</v>
      </c>
      <c r="B36" s="130"/>
      <c r="C36" s="116">
        <v>2.0</v>
      </c>
      <c r="E36" s="21"/>
      <c r="F36" s="129" t="s">
        <v>63</v>
      </c>
      <c r="H36" s="17">
        <f>H34*H33</f>
        <v>136</v>
      </c>
    </row>
    <row r="37">
      <c r="A37" s="119" t="s">
        <v>70</v>
      </c>
      <c r="C37" s="119">
        <v>1.0</v>
      </c>
      <c r="E37" s="21"/>
      <c r="F37" s="126" t="s">
        <v>65</v>
      </c>
      <c r="H37" s="131">
        <f>Management!I5*H35</f>
        <v>0.0007</v>
      </c>
    </row>
    <row r="38">
      <c r="A38" s="116" t="s">
        <v>84</v>
      </c>
      <c r="B38" s="130"/>
      <c r="C38" s="116">
        <v>0.0</v>
      </c>
      <c r="E38" s="21"/>
      <c r="F38" s="129" t="s">
        <v>67</v>
      </c>
      <c r="H38" s="131">
        <f>Management!I6*H36</f>
        <v>0.000204</v>
      </c>
    </row>
    <row r="39">
      <c r="A39" s="119" t="s">
        <v>72</v>
      </c>
      <c r="C39" s="119">
        <f>1/12</f>
        <v>0.08333333333</v>
      </c>
      <c r="E39" s="21"/>
    </row>
    <row r="40">
      <c r="A40" s="155" t="s">
        <v>85</v>
      </c>
      <c r="B40" s="155"/>
      <c r="C40" s="155">
        <f>C32*C33+C34*C35+C36*C37+C38*C39</f>
        <v>2</v>
      </c>
      <c r="E40" s="21"/>
      <c r="F40" s="132" t="s">
        <v>86</v>
      </c>
      <c r="G40" s="133"/>
      <c r="H40" s="134">
        <f>H37+H38</f>
        <v>0.000904</v>
      </c>
    </row>
    <row r="41">
      <c r="A41" s="124" t="s">
        <v>87</v>
      </c>
      <c r="C41" s="124">
        <v>2.0</v>
      </c>
      <c r="E41" s="21"/>
    </row>
    <row r="42">
      <c r="A42" s="124" t="s">
        <v>88</v>
      </c>
      <c r="C42" s="124">
        <v>3.0</v>
      </c>
      <c r="E42" s="21"/>
    </row>
    <row r="43">
      <c r="A43" s="156" t="s">
        <v>89</v>
      </c>
      <c r="B43" s="128"/>
      <c r="C43" s="156">
        <v>1.0</v>
      </c>
      <c r="E43" s="21"/>
    </row>
    <row r="44">
      <c r="A44" s="135" t="s">
        <v>90</v>
      </c>
      <c r="C44" s="157">
        <v>0.8</v>
      </c>
      <c r="E44" s="21"/>
    </row>
    <row r="45">
      <c r="A45" s="158" t="s">
        <v>91</v>
      </c>
      <c r="B45" s="159"/>
      <c r="C45" s="160">
        <f>100%-C44</f>
        <v>0.2</v>
      </c>
      <c r="D45" s="161" t="s">
        <v>92</v>
      </c>
      <c r="E45" s="162" t="s">
        <v>93</v>
      </c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</row>
    <row r="46">
      <c r="A46" s="124" t="s">
        <v>94</v>
      </c>
      <c r="C46" s="124">
        <f>(C41*C44+C42*(100%-C44))*C40</f>
        <v>4.4</v>
      </c>
      <c r="D46" s="163">
        <f>Management!C6</f>
        <v>0.0853425</v>
      </c>
      <c r="E46" s="144">
        <f t="shared" ref="E46:E47" si="2">D46*C46</f>
        <v>0.375507</v>
      </c>
    </row>
    <row r="47">
      <c r="A47" s="156" t="s">
        <v>95</v>
      </c>
      <c r="C47" s="156">
        <f>C43*C45*C40</f>
        <v>0.4</v>
      </c>
      <c r="D47" s="164">
        <f>Management!C7</f>
        <v>0.011379</v>
      </c>
      <c r="E47" s="149">
        <f t="shared" si="2"/>
        <v>0.0045516</v>
      </c>
    </row>
    <row r="48">
      <c r="A48" s="165"/>
      <c r="B48" s="73"/>
      <c r="C48" s="166"/>
    </row>
    <row r="49">
      <c r="A49" s="151" t="s">
        <v>78</v>
      </c>
      <c r="G49" s="152">
        <f>SUM(E46:E47,H40)</f>
        <v>0.3809626</v>
      </c>
    </row>
    <row r="50">
      <c r="A50" s="153"/>
    </row>
    <row r="51">
      <c r="A51" s="153"/>
    </row>
    <row r="52">
      <c r="A52" s="153" t="s">
        <v>96</v>
      </c>
    </row>
    <row r="53">
      <c r="A53" s="114" t="s">
        <v>53</v>
      </c>
      <c r="E53" s="21"/>
      <c r="G53" s="114" t="s">
        <v>3</v>
      </c>
      <c r="J53" s="167"/>
      <c r="K53" s="167"/>
      <c r="L53" s="167"/>
    </row>
    <row r="54">
      <c r="A54" s="21" t="s">
        <v>97</v>
      </c>
      <c r="C54" s="168">
        <v>0.7</v>
      </c>
      <c r="E54" s="21"/>
      <c r="G54" s="118" t="s">
        <v>55</v>
      </c>
      <c r="I54" s="21">
        <v>7000.0</v>
      </c>
      <c r="J54" s="167"/>
      <c r="K54" s="167"/>
      <c r="L54" s="167"/>
    </row>
    <row r="55">
      <c r="A55" s="21" t="s">
        <v>130</v>
      </c>
      <c r="C55" s="21">
        <v>4.0</v>
      </c>
      <c r="G55" s="118" t="s">
        <v>57</v>
      </c>
      <c r="I55" s="21">
        <v>340.0</v>
      </c>
    </row>
    <row r="56">
      <c r="A56" s="102" t="s">
        <v>73</v>
      </c>
      <c r="B56" s="57"/>
      <c r="C56" s="102">
        <v>1.5</v>
      </c>
      <c r="G56" s="123" t="s">
        <v>82</v>
      </c>
      <c r="I56" s="17">
        <f>C54*C55</f>
        <v>2.8</v>
      </c>
    </row>
    <row r="57">
      <c r="C57" s="21"/>
      <c r="D57" s="161" t="s">
        <v>92</v>
      </c>
      <c r="E57" s="162" t="s">
        <v>93</v>
      </c>
      <c r="G57" s="126" t="s">
        <v>61</v>
      </c>
      <c r="I57" s="17">
        <f>I56*I54</f>
        <v>19600</v>
      </c>
    </row>
    <row r="58">
      <c r="A58" s="129" t="s">
        <v>94</v>
      </c>
      <c r="C58" s="21">
        <f>C55*C56*C54</f>
        <v>4.2</v>
      </c>
      <c r="D58" s="163">
        <f>Management!C6</f>
        <v>0.0853425</v>
      </c>
      <c r="E58" s="169">
        <f t="shared" ref="E58:E59" si="3">D58*C58</f>
        <v>0.3584385</v>
      </c>
      <c r="G58" s="129" t="s">
        <v>63</v>
      </c>
      <c r="I58" s="17">
        <f>I56*I55</f>
        <v>952</v>
      </c>
    </row>
    <row r="59">
      <c r="A59" s="126" t="s">
        <v>95</v>
      </c>
      <c r="C59" s="21">
        <f>C55*C54</f>
        <v>2.8</v>
      </c>
      <c r="D59" s="164">
        <f>Management!C7</f>
        <v>0.011379</v>
      </c>
      <c r="E59" s="170">
        <f t="shared" si="3"/>
        <v>0.0318612</v>
      </c>
      <c r="G59" s="126" t="s">
        <v>65</v>
      </c>
      <c r="I59" s="131">
        <f>Management!I5*I57</f>
        <v>0.0049</v>
      </c>
    </row>
    <row r="60">
      <c r="A60" s="132"/>
      <c r="C60" s="133"/>
      <c r="G60" s="129" t="s">
        <v>67</v>
      </c>
      <c r="I60" s="131">
        <f>Management!I6*I58</f>
        <v>0.001428</v>
      </c>
    </row>
    <row r="62">
      <c r="A62" s="171"/>
      <c r="B62" s="172"/>
      <c r="G62" s="132" t="s">
        <v>99</v>
      </c>
      <c r="H62" s="133"/>
      <c r="I62" s="134">
        <f>I59+I60</f>
        <v>0.006328</v>
      </c>
    </row>
    <row r="63">
      <c r="A63" s="173"/>
      <c r="B63" s="173"/>
      <c r="C63" s="173"/>
      <c r="D63" s="173"/>
      <c r="E63" s="173"/>
      <c r="F63" s="173"/>
      <c r="G63" s="174"/>
      <c r="H63" s="133"/>
      <c r="I63" s="133"/>
    </row>
    <row r="64">
      <c r="A64" s="151" t="s">
        <v>78</v>
      </c>
      <c r="G64" s="152">
        <f>SUM(E58:E59,I62)</f>
        <v>0.3966277</v>
      </c>
      <c r="H64" s="133"/>
      <c r="I64" s="133"/>
    </row>
    <row r="65">
      <c r="A65" s="171"/>
      <c r="B65" s="172"/>
      <c r="G65" s="132"/>
      <c r="H65" s="133"/>
      <c r="I65" s="133"/>
    </row>
    <row r="66">
      <c r="A66" s="171" t="s">
        <v>100</v>
      </c>
      <c r="B66" s="172"/>
      <c r="G66" s="132"/>
      <c r="H66" s="133"/>
      <c r="I66" s="133"/>
    </row>
    <row r="67">
      <c r="A67" s="175" t="s">
        <v>101</v>
      </c>
      <c r="B67" s="125">
        <f t="shared" ref="B67:B68" si="4">SUM(E25,E46,E58)</f>
        <v>0.7339455</v>
      </c>
    </row>
    <row r="68">
      <c r="A68" s="126" t="s">
        <v>102</v>
      </c>
      <c r="B68" s="176">
        <f t="shared" si="4"/>
        <v>0.0364128</v>
      </c>
      <c r="C68" s="111"/>
    </row>
    <row r="69">
      <c r="C69" s="168"/>
    </row>
    <row r="70">
      <c r="A70" s="132" t="s">
        <v>103</v>
      </c>
      <c r="B70" s="133">
        <f>SUm(B67:B68)</f>
        <v>0.7703583</v>
      </c>
    </row>
    <row r="71">
      <c r="A71" s="177" t="s">
        <v>104</v>
      </c>
      <c r="B71" s="178">
        <f>Management!C11*B70</f>
        <v>127.1091195</v>
      </c>
      <c r="C71" s="168"/>
    </row>
    <row r="72">
      <c r="A72" s="21"/>
      <c r="C72" s="168"/>
    </row>
    <row r="73">
      <c r="A73" s="132" t="s">
        <v>105</v>
      </c>
      <c r="B73" s="179">
        <f>I62+H40+H11</f>
        <v>0.007232</v>
      </c>
      <c r="C73" s="168"/>
    </row>
    <row r="74">
      <c r="A74" s="21" t="s">
        <v>104</v>
      </c>
      <c r="B74" s="180">
        <f>Management!C11*B73</f>
        <v>1.19328</v>
      </c>
    </row>
    <row r="75">
      <c r="A75" s="132"/>
      <c r="B75" s="133"/>
      <c r="C75" s="81"/>
      <c r="F75" s="111"/>
    </row>
    <row r="76">
      <c r="A76" s="181" t="s">
        <v>106</v>
      </c>
      <c r="B76" s="182">
        <f t="shared" ref="B76:B77" si="5">B70+B73</f>
        <v>0.7775903</v>
      </c>
      <c r="C76" s="81"/>
    </row>
    <row r="77">
      <c r="A77" s="183" t="s">
        <v>104</v>
      </c>
      <c r="B77" s="184">
        <f t="shared" si="5"/>
        <v>128.3023995</v>
      </c>
      <c r="C77" s="81"/>
    </row>
    <row r="78">
      <c r="A78" s="132"/>
      <c r="C78" s="133"/>
    </row>
    <row r="79">
      <c r="C79" s="81"/>
    </row>
    <row r="80">
      <c r="C80" s="185"/>
    </row>
    <row r="81">
      <c r="C81" s="185"/>
    </row>
    <row r="82">
      <c r="A82" s="135"/>
      <c r="C82" s="186"/>
    </row>
    <row r="83">
      <c r="A83" s="135"/>
      <c r="C83" s="186"/>
    </row>
    <row r="85">
      <c r="A85" s="187"/>
      <c r="B85" s="188"/>
      <c r="C85" s="189"/>
    </row>
    <row r="86">
      <c r="A86" s="187"/>
      <c r="C86" s="190"/>
    </row>
    <row r="87">
      <c r="C87" s="191"/>
    </row>
    <row r="88">
      <c r="C88" s="192"/>
      <c r="Q88" s="193"/>
    </row>
    <row r="89">
      <c r="A89" s="21"/>
      <c r="C89" s="192"/>
    </row>
    <row r="90">
      <c r="C90" s="192"/>
    </row>
    <row r="91">
      <c r="A91" s="37"/>
    </row>
    <row r="92">
      <c r="A92" s="194"/>
      <c r="B92" s="195"/>
      <c r="C92" s="196"/>
    </row>
    <row r="94">
      <c r="A94" s="132"/>
      <c r="B94" s="133"/>
      <c r="C94" s="197"/>
    </row>
    <row r="95">
      <c r="A95" s="154"/>
    </row>
    <row r="96">
      <c r="A96" s="154"/>
    </row>
    <row r="97">
      <c r="A97" s="154"/>
    </row>
    <row r="112">
      <c r="H112" s="21"/>
    </row>
    <row r="122">
      <c r="J122" s="198"/>
    </row>
    <row r="123">
      <c r="J123" s="198"/>
    </row>
    <row r="124">
      <c r="J124" s="188"/>
    </row>
  </sheetData>
  <mergeCells count="9">
    <mergeCell ref="A53:C53"/>
    <mergeCell ref="A64:F64"/>
    <mergeCell ref="A2:C2"/>
    <mergeCell ref="F2:H2"/>
    <mergeCell ref="A28:F28"/>
    <mergeCell ref="A31:C31"/>
    <mergeCell ref="F31:H31"/>
    <mergeCell ref="A49:F49"/>
    <mergeCell ref="G53:I5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3" max="3" width="18.63"/>
    <col customWidth="1" min="4" max="4" width="14.25"/>
    <col customWidth="1" min="7" max="7" width="23.88"/>
    <col customWidth="1" min="8" max="9" width="13.63"/>
    <col customWidth="1" min="10" max="10" width="16.75"/>
    <col customWidth="1" min="14" max="14" width="20.75"/>
    <col customWidth="1" min="16" max="16" width="16.0"/>
    <col customWidth="1" min="17" max="17" width="19.0"/>
  </cols>
  <sheetData>
    <row r="1">
      <c r="A1" s="112" t="s">
        <v>52</v>
      </c>
      <c r="C1" s="21"/>
      <c r="E1" s="113"/>
    </row>
    <row r="2">
      <c r="A2" s="114" t="s">
        <v>53</v>
      </c>
      <c r="E2" s="115"/>
      <c r="F2" s="114" t="s">
        <v>3</v>
      </c>
    </row>
    <row r="3">
      <c r="A3" s="116" t="s">
        <v>54</v>
      </c>
      <c r="B3" s="117"/>
      <c r="C3" s="116">
        <v>0.0</v>
      </c>
      <c r="F3" s="118" t="s">
        <v>55</v>
      </c>
      <c r="H3" s="21">
        <v>2000.0</v>
      </c>
    </row>
    <row r="4">
      <c r="A4" s="119" t="s">
        <v>56</v>
      </c>
      <c r="B4" s="120"/>
      <c r="C4" s="119">
        <v>30.0</v>
      </c>
      <c r="F4" s="118" t="s">
        <v>57</v>
      </c>
      <c r="H4" s="21">
        <v>50.0</v>
      </c>
    </row>
    <row r="5">
      <c r="A5" s="121" t="s">
        <v>58</v>
      </c>
      <c r="B5" s="122"/>
      <c r="C5" s="121">
        <v>2.0</v>
      </c>
      <c r="F5" s="123" t="s">
        <v>59</v>
      </c>
      <c r="H5" s="17">
        <f>C3*C4*C5+C8*C9*C10+C13*C14*C15+C18*C19*C20</f>
        <v>6</v>
      </c>
    </row>
    <row r="6">
      <c r="A6" s="124" t="s">
        <v>60</v>
      </c>
      <c r="B6" s="125"/>
      <c r="C6" s="124">
        <f>(C5*C24+1)*C3*C4</f>
        <v>0</v>
      </c>
      <c r="F6" s="126" t="s">
        <v>61</v>
      </c>
      <c r="H6" s="17">
        <f>H5*H3</f>
        <v>12000</v>
      </c>
    </row>
    <row r="7">
      <c r="A7" s="127" t="s">
        <v>62</v>
      </c>
      <c r="B7" s="128"/>
      <c r="C7" s="127">
        <f>C3*C4*C5</f>
        <v>0</v>
      </c>
      <c r="F7" s="129" t="s">
        <v>63</v>
      </c>
      <c r="H7" s="17">
        <f>H5*H4</f>
        <v>300</v>
      </c>
    </row>
    <row r="8">
      <c r="A8" s="116" t="s">
        <v>64</v>
      </c>
      <c r="B8" s="130"/>
      <c r="C8" s="116">
        <v>0.0</v>
      </c>
      <c r="E8" s="21"/>
      <c r="F8" s="126" t="s">
        <v>65</v>
      </c>
      <c r="H8" s="131">
        <f>Management!I5*H6</f>
        <v>0.003</v>
      </c>
    </row>
    <row r="9">
      <c r="A9" s="119" t="s">
        <v>66</v>
      </c>
      <c r="B9" s="120"/>
      <c r="C9" s="119">
        <v>4.0</v>
      </c>
      <c r="E9" s="21"/>
      <c r="F9" s="129" t="s">
        <v>67</v>
      </c>
      <c r="H9" s="131">
        <f>Management!I6*H7</f>
        <v>0.00045</v>
      </c>
    </row>
    <row r="10">
      <c r="A10" s="121" t="s">
        <v>58</v>
      </c>
      <c r="B10" s="122"/>
      <c r="C10" s="121">
        <v>2.0</v>
      </c>
    </row>
    <row r="11">
      <c r="A11" s="124" t="s">
        <v>60</v>
      </c>
      <c r="B11" s="125"/>
      <c r="C11" s="124">
        <f>(C10*C24+1)*C8*C9</f>
        <v>0</v>
      </c>
      <c r="F11" s="132" t="s">
        <v>68</v>
      </c>
      <c r="G11" s="133"/>
      <c r="H11" s="134">
        <f>H8+H9</f>
        <v>0.00345</v>
      </c>
    </row>
    <row r="12">
      <c r="A12" s="127" t="s">
        <v>62</v>
      </c>
      <c r="B12" s="128"/>
      <c r="C12" s="127">
        <f>C8*C9*C10</f>
        <v>0</v>
      </c>
    </row>
    <row r="13">
      <c r="A13" s="116" t="s">
        <v>69</v>
      </c>
      <c r="B13" s="130"/>
      <c r="C13" s="116">
        <v>1.0</v>
      </c>
      <c r="E13" s="21"/>
    </row>
    <row r="14">
      <c r="A14" s="119" t="s">
        <v>70</v>
      </c>
      <c r="B14" s="120"/>
      <c r="C14" s="119">
        <v>1.0</v>
      </c>
      <c r="E14" s="21"/>
    </row>
    <row r="15">
      <c r="A15" s="135" t="s">
        <v>58</v>
      </c>
      <c r="C15" s="135">
        <v>6.0</v>
      </c>
    </row>
    <row r="16">
      <c r="A16" s="124" t="s">
        <v>60</v>
      </c>
      <c r="B16" s="125"/>
      <c r="C16" s="124">
        <f>(C15*C24+1)*C13*C14</f>
        <v>10</v>
      </c>
    </row>
    <row r="17">
      <c r="A17" s="127" t="s">
        <v>62</v>
      </c>
      <c r="B17" s="128"/>
      <c r="C17" s="127">
        <f>C13*C14*C15</f>
        <v>6</v>
      </c>
    </row>
    <row r="18">
      <c r="A18" s="116" t="s">
        <v>71</v>
      </c>
      <c r="B18" s="130"/>
      <c r="C18" s="116">
        <v>0.0</v>
      </c>
      <c r="E18" s="21"/>
    </row>
    <row r="19">
      <c r="A19" s="119" t="s">
        <v>72</v>
      </c>
      <c r="B19" s="120"/>
      <c r="C19" s="119">
        <f>1/12</f>
        <v>0.08333333333</v>
      </c>
      <c r="E19" s="21"/>
    </row>
    <row r="20">
      <c r="A20" s="121" t="s">
        <v>58</v>
      </c>
      <c r="B20" s="122"/>
      <c r="C20" s="121">
        <v>0.0</v>
      </c>
    </row>
    <row r="21">
      <c r="A21" s="124" t="s">
        <v>60</v>
      </c>
      <c r="B21" s="125"/>
      <c r="C21" s="124">
        <f>(C19*C24+1)*C18*C20</f>
        <v>0</v>
      </c>
    </row>
    <row r="22">
      <c r="A22" s="127" t="s">
        <v>62</v>
      </c>
      <c r="B22" s="128"/>
      <c r="C22" s="127">
        <f>C18*C20*C19</f>
        <v>0</v>
      </c>
    </row>
    <row r="23">
      <c r="A23" s="136"/>
      <c r="C23" s="135"/>
      <c r="D23" s="137"/>
      <c r="E23" s="137"/>
    </row>
    <row r="24">
      <c r="A24" s="136" t="s">
        <v>73</v>
      </c>
      <c r="C24" s="135">
        <v>1.5</v>
      </c>
      <c r="D24" s="138" t="s">
        <v>74</v>
      </c>
      <c r="E24" s="139" t="s">
        <v>75</v>
      </c>
    </row>
    <row r="25">
      <c r="A25" s="140" t="s">
        <v>76</v>
      </c>
      <c r="B25" s="141"/>
      <c r="C25" s="142">
        <f>SUM(C6,C11,C16,C21)</f>
        <v>10</v>
      </c>
      <c r="D25" s="143">
        <f>Management!C6</f>
        <v>0.0853425</v>
      </c>
      <c r="E25" s="144">
        <f t="shared" ref="E25:E26" si="1">C25*D25</f>
        <v>0.853425</v>
      </c>
    </row>
    <row r="26">
      <c r="A26" s="145" t="s">
        <v>77</v>
      </c>
      <c r="B26" s="146"/>
      <c r="C26" s="147">
        <f>SUM(C22,C17,C12,C7)</f>
        <v>6</v>
      </c>
      <c r="D26" s="148">
        <f>Management!C7</f>
        <v>0.011379</v>
      </c>
      <c r="E26" s="149">
        <f t="shared" si="1"/>
        <v>0.068274</v>
      </c>
    </row>
    <row r="27">
      <c r="A27" s="145"/>
      <c r="B27" s="146"/>
      <c r="C27" s="147"/>
      <c r="D27" s="137"/>
      <c r="E27" s="150"/>
    </row>
    <row r="28">
      <c r="A28" s="151" t="s">
        <v>78</v>
      </c>
      <c r="G28" s="152">
        <f>SUM(E25:E26,H11)</f>
        <v>0.925149</v>
      </c>
    </row>
    <row r="29">
      <c r="A29" s="153"/>
      <c r="C29" s="21"/>
    </row>
    <row r="30">
      <c r="A30" s="112" t="s">
        <v>79</v>
      </c>
      <c r="C30" s="21"/>
    </row>
    <row r="31">
      <c r="A31" s="114" t="s">
        <v>53</v>
      </c>
      <c r="D31" s="154"/>
      <c r="F31" s="114" t="s">
        <v>3</v>
      </c>
    </row>
    <row r="32">
      <c r="A32" s="116" t="s">
        <v>80</v>
      </c>
      <c r="B32" s="130"/>
      <c r="C32" s="116"/>
      <c r="F32" s="118" t="s">
        <v>55</v>
      </c>
      <c r="H32" s="21">
        <v>2000.0</v>
      </c>
    </row>
    <row r="33">
      <c r="A33" s="119" t="s">
        <v>56</v>
      </c>
      <c r="C33" s="119">
        <v>30.0</v>
      </c>
      <c r="F33" s="118" t="s">
        <v>57</v>
      </c>
      <c r="H33" s="21">
        <v>50.0</v>
      </c>
    </row>
    <row r="34">
      <c r="A34" s="116" t="s">
        <v>81</v>
      </c>
      <c r="B34" s="130"/>
      <c r="C34" s="116">
        <v>0.0</v>
      </c>
      <c r="F34" s="123" t="s">
        <v>82</v>
      </c>
      <c r="H34" s="17">
        <f>(C32*C33+C34*C35+C36*C37+C38*C39)*C45</f>
        <v>0.6</v>
      </c>
    </row>
    <row r="35">
      <c r="A35" s="119" t="s">
        <v>66</v>
      </c>
      <c r="C35" s="119">
        <v>4.0</v>
      </c>
      <c r="F35" s="126" t="s">
        <v>61</v>
      </c>
      <c r="H35" s="17">
        <f>H34*H32</f>
        <v>1200</v>
      </c>
    </row>
    <row r="36">
      <c r="A36" s="116" t="s">
        <v>83</v>
      </c>
      <c r="B36" s="130"/>
      <c r="C36" s="116">
        <v>3.0</v>
      </c>
      <c r="E36" s="21"/>
      <c r="F36" s="129" t="s">
        <v>63</v>
      </c>
      <c r="H36" s="17">
        <f>H34*H33</f>
        <v>30</v>
      </c>
    </row>
    <row r="37">
      <c r="A37" s="119" t="s">
        <v>70</v>
      </c>
      <c r="C37" s="119">
        <v>1.0</v>
      </c>
      <c r="E37" s="21"/>
      <c r="F37" s="126" t="s">
        <v>65</v>
      </c>
      <c r="H37" s="131">
        <f>Management!I5*H35</f>
        <v>0.0003</v>
      </c>
    </row>
    <row r="38">
      <c r="A38" s="116" t="s">
        <v>84</v>
      </c>
      <c r="B38" s="130"/>
      <c r="C38" s="116">
        <v>0.0</v>
      </c>
      <c r="E38" s="21"/>
      <c r="F38" s="129" t="s">
        <v>67</v>
      </c>
      <c r="H38" s="131">
        <f>Management!I6*H36</f>
        <v>0.000045</v>
      </c>
    </row>
    <row r="39">
      <c r="A39" s="119" t="s">
        <v>72</v>
      </c>
      <c r="C39" s="119">
        <f>1/12</f>
        <v>0.08333333333</v>
      </c>
      <c r="E39" s="21"/>
    </row>
    <row r="40">
      <c r="A40" s="155" t="s">
        <v>85</v>
      </c>
      <c r="B40" s="155"/>
      <c r="C40" s="155">
        <f>C32*C33+C34*C35+C36*C37+C38*C39</f>
        <v>3</v>
      </c>
      <c r="E40" s="21"/>
      <c r="F40" s="132" t="s">
        <v>86</v>
      </c>
      <c r="G40" s="133"/>
      <c r="H40" s="134">
        <f>H37+H38</f>
        <v>0.000345</v>
      </c>
    </row>
    <row r="41">
      <c r="A41" s="124" t="s">
        <v>87</v>
      </c>
      <c r="C41" s="124">
        <v>2.0</v>
      </c>
      <c r="E41" s="21"/>
    </row>
    <row r="42">
      <c r="A42" s="124" t="s">
        <v>88</v>
      </c>
      <c r="C42" s="124">
        <v>3.0</v>
      </c>
      <c r="E42" s="21"/>
    </row>
    <row r="43">
      <c r="A43" s="156" t="s">
        <v>89</v>
      </c>
      <c r="B43" s="128"/>
      <c r="C43" s="156">
        <v>1.0</v>
      </c>
      <c r="E43" s="21"/>
    </row>
    <row r="44">
      <c r="A44" s="135" t="s">
        <v>90</v>
      </c>
      <c r="C44" s="157">
        <v>0.8</v>
      </c>
      <c r="E44" s="21"/>
    </row>
    <row r="45">
      <c r="A45" s="158" t="s">
        <v>91</v>
      </c>
      <c r="B45" s="159"/>
      <c r="C45" s="160">
        <f>100%-C44</f>
        <v>0.2</v>
      </c>
      <c r="D45" s="161" t="s">
        <v>92</v>
      </c>
      <c r="E45" s="162" t="s">
        <v>93</v>
      </c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</row>
    <row r="46">
      <c r="A46" s="124" t="s">
        <v>94</v>
      </c>
      <c r="C46" s="124">
        <f>(C41*C44+C42*(100%-C44))*C40</f>
        <v>6.6</v>
      </c>
      <c r="D46" s="163">
        <f>Management!C6</f>
        <v>0.0853425</v>
      </c>
      <c r="E46" s="144">
        <f t="shared" ref="E46:E47" si="2">D46*C46</f>
        <v>0.5632605</v>
      </c>
    </row>
    <row r="47">
      <c r="A47" s="156" t="s">
        <v>95</v>
      </c>
      <c r="C47" s="156">
        <f>C43*C45*C40</f>
        <v>0.6</v>
      </c>
      <c r="D47" s="164">
        <f>Management!C7</f>
        <v>0.011379</v>
      </c>
      <c r="E47" s="149">
        <f t="shared" si="2"/>
        <v>0.0068274</v>
      </c>
    </row>
    <row r="48">
      <c r="A48" s="165"/>
      <c r="B48" s="73"/>
      <c r="C48" s="166"/>
    </row>
    <row r="49">
      <c r="A49" s="151" t="s">
        <v>78</v>
      </c>
      <c r="G49" s="152">
        <f>SUM(E46:E47,H40)</f>
        <v>0.5704329</v>
      </c>
    </row>
    <row r="50">
      <c r="A50" s="153"/>
    </row>
    <row r="51">
      <c r="A51" s="153"/>
    </row>
    <row r="52">
      <c r="A52" s="153" t="s">
        <v>96</v>
      </c>
    </row>
    <row r="53">
      <c r="A53" s="114" t="s">
        <v>53</v>
      </c>
      <c r="E53" s="21"/>
      <c r="G53" s="114" t="s">
        <v>3</v>
      </c>
      <c r="J53" s="167"/>
      <c r="K53" s="167"/>
      <c r="L53" s="167"/>
    </row>
    <row r="54">
      <c r="A54" s="21" t="s">
        <v>97</v>
      </c>
      <c r="C54" s="168">
        <v>0.7</v>
      </c>
      <c r="E54" s="21"/>
      <c r="G54" s="118" t="s">
        <v>55</v>
      </c>
      <c r="I54" s="21">
        <v>2000.0</v>
      </c>
      <c r="J54" s="167"/>
      <c r="K54" s="167"/>
      <c r="L54" s="167"/>
    </row>
    <row r="55">
      <c r="A55" s="21" t="s">
        <v>98</v>
      </c>
      <c r="C55" s="21">
        <v>0.0</v>
      </c>
      <c r="G55" s="118" t="s">
        <v>57</v>
      </c>
      <c r="I55" s="21">
        <v>340.0</v>
      </c>
    </row>
    <row r="56">
      <c r="A56" s="102" t="s">
        <v>73</v>
      </c>
      <c r="B56" s="57"/>
      <c r="C56" s="102">
        <v>1.5</v>
      </c>
      <c r="G56" s="123" t="s">
        <v>82</v>
      </c>
      <c r="I56" s="17">
        <f>C54*C55</f>
        <v>0</v>
      </c>
    </row>
    <row r="57">
      <c r="C57" s="21"/>
      <c r="D57" s="161" t="s">
        <v>92</v>
      </c>
      <c r="E57" s="162" t="s">
        <v>93</v>
      </c>
      <c r="G57" s="126" t="s">
        <v>61</v>
      </c>
      <c r="I57" s="17">
        <f>I56*I54</f>
        <v>0</v>
      </c>
    </row>
    <row r="58">
      <c r="A58" s="129" t="s">
        <v>94</v>
      </c>
      <c r="C58" s="21">
        <f>C55*C56*C54</f>
        <v>0</v>
      </c>
      <c r="D58" s="163">
        <f>Management!C6</f>
        <v>0.0853425</v>
      </c>
      <c r="E58" s="169">
        <f t="shared" ref="E58:E59" si="3">D58*C58</f>
        <v>0</v>
      </c>
      <c r="G58" s="129" t="s">
        <v>63</v>
      </c>
      <c r="I58" s="17">
        <f>I56*I55</f>
        <v>0</v>
      </c>
    </row>
    <row r="59">
      <c r="A59" s="126" t="s">
        <v>95</v>
      </c>
      <c r="C59" s="21">
        <f>C55*C54</f>
        <v>0</v>
      </c>
      <c r="D59" s="164">
        <f>Management!C7</f>
        <v>0.011379</v>
      </c>
      <c r="E59" s="170">
        <f t="shared" si="3"/>
        <v>0</v>
      </c>
      <c r="G59" s="126" t="s">
        <v>65</v>
      </c>
      <c r="I59" s="131">
        <f>Management!I5*I57</f>
        <v>0</v>
      </c>
    </row>
    <row r="60">
      <c r="A60" s="132"/>
      <c r="C60" s="133"/>
      <c r="G60" s="129" t="s">
        <v>67</v>
      </c>
      <c r="I60" s="131">
        <f>Management!I6*I58</f>
        <v>0</v>
      </c>
    </row>
    <row r="62">
      <c r="A62" s="171"/>
      <c r="B62" s="172"/>
      <c r="G62" s="132" t="s">
        <v>99</v>
      </c>
      <c r="H62" s="133"/>
      <c r="I62" s="134">
        <f>I59+I60</f>
        <v>0</v>
      </c>
    </row>
    <row r="63">
      <c r="A63" s="173"/>
      <c r="B63" s="173"/>
      <c r="C63" s="173"/>
      <c r="D63" s="173"/>
      <c r="E63" s="173"/>
      <c r="F63" s="173"/>
      <c r="G63" s="174"/>
      <c r="H63" s="133"/>
      <c r="I63" s="133"/>
    </row>
    <row r="64">
      <c r="A64" s="151" t="s">
        <v>78</v>
      </c>
      <c r="G64" s="152">
        <f>SUM(E58:E59,I62)</f>
        <v>0</v>
      </c>
      <c r="H64" s="133"/>
      <c r="I64" s="133"/>
    </row>
    <row r="65">
      <c r="A65" s="171"/>
      <c r="B65" s="172"/>
      <c r="G65" s="132"/>
      <c r="H65" s="133"/>
      <c r="I65" s="133"/>
    </row>
    <row r="66">
      <c r="A66" s="171" t="s">
        <v>100</v>
      </c>
      <c r="B66" s="172"/>
      <c r="G66" s="132"/>
      <c r="H66" s="133"/>
      <c r="I66" s="133"/>
    </row>
    <row r="67">
      <c r="A67" s="175" t="s">
        <v>101</v>
      </c>
      <c r="B67" s="125">
        <f t="shared" ref="B67:B68" si="4">SUM(E25,E46,E58)</f>
        <v>1.4166855</v>
      </c>
    </row>
    <row r="68">
      <c r="A68" s="126" t="s">
        <v>102</v>
      </c>
      <c r="B68" s="176">
        <f t="shared" si="4"/>
        <v>0.0751014</v>
      </c>
      <c r="C68" s="111"/>
    </row>
    <row r="69">
      <c r="C69" s="168"/>
    </row>
    <row r="70">
      <c r="A70" s="132" t="s">
        <v>103</v>
      </c>
      <c r="B70" s="133">
        <f>SUm(B67:B68)</f>
        <v>1.4917869</v>
      </c>
    </row>
    <row r="71">
      <c r="A71" s="177" t="s">
        <v>104</v>
      </c>
      <c r="B71" s="178">
        <f>Management!C11*B70</f>
        <v>246.1448385</v>
      </c>
      <c r="C71" s="168"/>
    </row>
    <row r="72">
      <c r="A72" s="21"/>
      <c r="C72" s="168"/>
    </row>
    <row r="73">
      <c r="A73" s="132" t="s">
        <v>105</v>
      </c>
      <c r="B73" s="179">
        <f>I62+H40+H11</f>
        <v>0.003795</v>
      </c>
      <c r="C73" s="168"/>
    </row>
    <row r="74">
      <c r="A74" s="21" t="s">
        <v>104</v>
      </c>
      <c r="B74" s="180">
        <f>Management!C11*B73</f>
        <v>0.626175</v>
      </c>
    </row>
    <row r="75">
      <c r="A75" s="132"/>
      <c r="B75" s="133"/>
      <c r="C75" s="81"/>
      <c r="F75" s="111"/>
    </row>
    <row r="76">
      <c r="A76" s="181" t="s">
        <v>106</v>
      </c>
      <c r="B76" s="182">
        <f t="shared" ref="B76:B77" si="5">B70+B73</f>
        <v>1.4955819</v>
      </c>
      <c r="C76" s="81"/>
    </row>
    <row r="77">
      <c r="A77" s="183" t="s">
        <v>104</v>
      </c>
      <c r="B77" s="184">
        <f t="shared" si="5"/>
        <v>246.7710135</v>
      </c>
      <c r="C77" s="111"/>
    </row>
    <row r="78">
      <c r="A78" s="132"/>
      <c r="C78" s="133"/>
    </row>
    <row r="79">
      <c r="C79" s="81"/>
    </row>
    <row r="80">
      <c r="C80" s="185"/>
    </row>
    <row r="81">
      <c r="C81" s="185"/>
    </row>
    <row r="82">
      <c r="A82" s="135"/>
      <c r="C82" s="186"/>
    </row>
    <row r="83">
      <c r="A83" s="135"/>
      <c r="C83" s="186"/>
    </row>
    <row r="85">
      <c r="A85" s="187"/>
      <c r="B85" s="188"/>
      <c r="C85" s="189"/>
    </row>
    <row r="86">
      <c r="A86" s="187"/>
      <c r="C86" s="190"/>
    </row>
    <row r="87">
      <c r="C87" s="191"/>
    </row>
    <row r="88">
      <c r="C88" s="192"/>
      <c r="Q88" s="193"/>
    </row>
    <row r="89">
      <c r="A89" s="21"/>
      <c r="C89" s="192"/>
    </row>
    <row r="90">
      <c r="C90" s="192"/>
    </row>
    <row r="91">
      <c r="A91" s="37"/>
    </row>
    <row r="92">
      <c r="A92" s="194"/>
      <c r="B92" s="195"/>
      <c r="C92" s="196"/>
    </row>
    <row r="94">
      <c r="A94" s="132"/>
      <c r="B94" s="133"/>
      <c r="C94" s="197"/>
    </row>
    <row r="95">
      <c r="A95" s="154"/>
    </row>
    <row r="96">
      <c r="A96" s="154"/>
    </row>
    <row r="97">
      <c r="A97" s="154"/>
    </row>
    <row r="112">
      <c r="H112" s="21"/>
    </row>
    <row r="122">
      <c r="J122" s="198"/>
    </row>
    <row r="123">
      <c r="J123" s="198"/>
    </row>
    <row r="124">
      <c r="J124" s="188"/>
    </row>
  </sheetData>
  <mergeCells count="9">
    <mergeCell ref="A53:C53"/>
    <mergeCell ref="A64:F64"/>
    <mergeCell ref="A2:C2"/>
    <mergeCell ref="F2:H2"/>
    <mergeCell ref="A28:F28"/>
    <mergeCell ref="A31:C31"/>
    <mergeCell ref="F31:H31"/>
    <mergeCell ref="A49:F49"/>
    <mergeCell ref="G53:I53"/>
  </mergeCells>
  <drawing r:id="rId1"/>
</worksheet>
</file>